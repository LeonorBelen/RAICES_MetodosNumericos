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Leonor\Documents\"/>
    </mc:Choice>
  </mc:AlternateContent>
  <xr:revisionPtr revIDLastSave="0" documentId="8_{1227D180-1773-4D78-9A17-02553BFB54A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Hoja 1" sheetId="1" r:id="rId1"/>
    <sheet name="Hoja2" sheetId="2" r:id="rId2"/>
    <sheet name="Hoja3" sheetId="3" r:id="rId3"/>
    <sheet name="Hoj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C45" i="4"/>
  <c r="D45" i="4"/>
  <c r="C43" i="4"/>
  <c r="D43" i="4"/>
  <c r="C44" i="4"/>
  <c r="D44" i="4"/>
  <c r="D42" i="4"/>
  <c r="C42" i="4"/>
  <c r="D41" i="4"/>
  <c r="D40" i="4"/>
  <c r="D28" i="4"/>
  <c r="B29" i="4" s="1"/>
  <c r="C28" i="4"/>
  <c r="E22" i="4"/>
  <c r="F22" i="4"/>
  <c r="G22" i="4"/>
  <c r="H22" i="4"/>
  <c r="D22" i="4"/>
  <c r="C22" i="4"/>
  <c r="E21" i="4"/>
  <c r="H21" i="4" s="1"/>
  <c r="F21" i="4"/>
  <c r="G21" i="4"/>
  <c r="D21" i="4"/>
  <c r="C21" i="4"/>
  <c r="E20" i="4"/>
  <c r="H20" i="4" s="1"/>
  <c r="F20" i="4"/>
  <c r="G20" i="4"/>
  <c r="D20" i="4"/>
  <c r="C20" i="4"/>
  <c r="E19" i="4"/>
  <c r="H19" i="4" s="1"/>
  <c r="F19" i="4"/>
  <c r="G19" i="4"/>
  <c r="D19" i="4"/>
  <c r="C19" i="4"/>
  <c r="D18" i="4"/>
  <c r="E18" i="4" s="1"/>
  <c r="H18" i="4" s="1"/>
  <c r="C18" i="4"/>
  <c r="F18" i="4" s="1"/>
  <c r="E17" i="4"/>
  <c r="H17" i="4" s="1"/>
  <c r="F17" i="4"/>
  <c r="G17" i="4"/>
  <c r="D17" i="4"/>
  <c r="C17" i="4"/>
  <c r="E16" i="4"/>
  <c r="H16" i="4" s="1"/>
  <c r="F16" i="4"/>
  <c r="G16" i="4"/>
  <c r="D16" i="4"/>
  <c r="C16" i="4"/>
  <c r="E15" i="4"/>
  <c r="F15" i="4"/>
  <c r="G15" i="4"/>
  <c r="H15" i="4"/>
  <c r="D15" i="4"/>
  <c r="C15" i="4"/>
  <c r="E14" i="4"/>
  <c r="H14" i="4" s="1"/>
  <c r="F14" i="4"/>
  <c r="G14" i="4"/>
  <c r="D14" i="4"/>
  <c r="C14" i="4"/>
  <c r="E13" i="4"/>
  <c r="F13" i="4"/>
  <c r="G13" i="4"/>
  <c r="H13" i="4"/>
  <c r="D13" i="4"/>
  <c r="C13" i="4"/>
  <c r="E12" i="4"/>
  <c r="H12" i="4" s="1"/>
  <c r="F12" i="4"/>
  <c r="G12" i="4"/>
  <c r="D12" i="4"/>
  <c r="C12" i="4"/>
  <c r="D11" i="4"/>
  <c r="G11" i="4" s="1"/>
  <c r="C11" i="4"/>
  <c r="G10" i="4"/>
  <c r="F10" i="4"/>
  <c r="E10" i="4"/>
  <c r="H10" i="4" s="1"/>
  <c r="D40" i="3"/>
  <c r="C41" i="3" s="1"/>
  <c r="D41" i="3" s="1"/>
  <c r="D39" i="3"/>
  <c r="B30" i="3"/>
  <c r="D29" i="3"/>
  <c r="C29" i="3"/>
  <c r="C11" i="3"/>
  <c r="G10" i="3"/>
  <c r="F10" i="3"/>
  <c r="E10" i="3"/>
  <c r="H10" i="3" s="1"/>
  <c r="E12" i="1"/>
  <c r="H12" i="1" s="1"/>
  <c r="C45" i="2"/>
  <c r="D45" i="2" s="1"/>
  <c r="C42" i="2"/>
  <c r="D42" i="2" s="1"/>
  <c r="D41" i="2"/>
  <c r="C41" i="2"/>
  <c r="D40" i="2"/>
  <c r="D39" i="2"/>
  <c r="D39" i="1"/>
  <c r="C14" i="2"/>
  <c r="C15" i="2" s="1"/>
  <c r="F15" i="2" s="1"/>
  <c r="D14" i="2"/>
  <c r="G14" i="2" s="1"/>
  <c r="B31" i="2"/>
  <c r="C31" i="2" s="1"/>
  <c r="B30" i="2"/>
  <c r="C30" i="2"/>
  <c r="D30" i="2"/>
  <c r="D29" i="2"/>
  <c r="C29" i="2"/>
  <c r="D13" i="2"/>
  <c r="G13" i="2" s="1"/>
  <c r="C13" i="2"/>
  <c r="E11" i="2"/>
  <c r="G11" i="2"/>
  <c r="G12" i="2"/>
  <c r="D12" i="2"/>
  <c r="C12" i="2"/>
  <c r="E12" i="2" s="1"/>
  <c r="H12" i="2" s="1"/>
  <c r="H11" i="2"/>
  <c r="G12" i="1"/>
  <c r="F12" i="1"/>
  <c r="D40" i="1"/>
  <c r="C28" i="1"/>
  <c r="D28" i="1"/>
  <c r="B29" i="1" l="1"/>
  <c r="D29" i="1" s="1"/>
  <c r="C29" i="4"/>
  <c r="D29" i="4"/>
  <c r="G18" i="4"/>
  <c r="D30" i="3"/>
  <c r="C30" i="3"/>
  <c r="B31" i="3" s="1"/>
  <c r="D11" i="3"/>
  <c r="F11" i="3"/>
  <c r="C43" i="2"/>
  <c r="C41" i="1"/>
  <c r="E14" i="2"/>
  <c r="D15" i="2" s="1"/>
  <c r="E15" i="2" s="1"/>
  <c r="F14" i="2"/>
  <c r="D31" i="2"/>
  <c r="B32" i="2" s="1"/>
  <c r="E13" i="2"/>
  <c r="H13" i="2" s="1"/>
  <c r="F13" i="2"/>
  <c r="F12" i="2"/>
  <c r="C29" i="1"/>
  <c r="B30" i="1" l="1"/>
  <c r="B30" i="4"/>
  <c r="C30" i="4" s="1"/>
  <c r="B31" i="4" s="1"/>
  <c r="D30" i="4"/>
  <c r="E11" i="4"/>
  <c r="H11" i="4" s="1"/>
  <c r="F11" i="4"/>
  <c r="C31" i="3"/>
  <c r="D31" i="3"/>
  <c r="D12" i="3"/>
  <c r="G12" i="3" s="1"/>
  <c r="G11" i="3"/>
  <c r="E11" i="3"/>
  <c r="D43" i="2"/>
  <c r="C44" i="2"/>
  <c r="D44" i="2" s="1"/>
  <c r="D41" i="1"/>
  <c r="C42" i="1" s="1"/>
  <c r="H14" i="2"/>
  <c r="H15" i="2"/>
  <c r="C16" i="2"/>
  <c r="G15" i="2"/>
  <c r="D16" i="2"/>
  <c r="C32" i="2"/>
  <c r="D32" i="2"/>
  <c r="B33" i="2"/>
  <c r="C30" i="1"/>
  <c r="D30" i="1"/>
  <c r="C31" i="4" l="1"/>
  <c r="D31" i="4"/>
  <c r="B32" i="3"/>
  <c r="H11" i="3"/>
  <c r="C12" i="3"/>
  <c r="D42" i="1"/>
  <c r="C43" i="1" s="1"/>
  <c r="D17" i="2"/>
  <c r="G16" i="2"/>
  <c r="E16" i="2"/>
  <c r="F16" i="2"/>
  <c r="C33" i="2"/>
  <c r="D33" i="2"/>
  <c r="B31" i="1"/>
  <c r="C31" i="1" s="1"/>
  <c r="D31" i="1"/>
  <c r="B32" i="4" l="1"/>
  <c r="C32" i="3"/>
  <c r="D32" i="3"/>
  <c r="E12" i="3"/>
  <c r="F12" i="3"/>
  <c r="C13" i="3"/>
  <c r="D43" i="1"/>
  <c r="C44" i="1" s="1"/>
  <c r="D44" i="1" s="1"/>
  <c r="H16" i="2"/>
  <c r="C17" i="2"/>
  <c r="D18" i="2"/>
  <c r="G17" i="2"/>
  <c r="B32" i="1"/>
  <c r="C32" i="1" s="1"/>
  <c r="D32" i="1" l="1"/>
  <c r="D32" i="4"/>
  <c r="C32" i="4"/>
  <c r="B33" i="3"/>
  <c r="C14" i="3"/>
  <c r="F13" i="3"/>
  <c r="H12" i="3"/>
  <c r="D13" i="3"/>
  <c r="G13" i="3" s="1"/>
  <c r="D19" i="2"/>
  <c r="G18" i="2"/>
  <c r="E17" i="2"/>
  <c r="F17" i="2"/>
  <c r="B33" i="1"/>
  <c r="C33" i="1" s="1"/>
  <c r="D33" i="1"/>
  <c r="B33" i="4" l="1"/>
  <c r="C33" i="3"/>
  <c r="D33" i="3"/>
  <c r="E13" i="3"/>
  <c r="C15" i="3"/>
  <c r="F14" i="3"/>
  <c r="H17" i="2"/>
  <c r="C18" i="2"/>
  <c r="D20" i="2"/>
  <c r="G19" i="2"/>
  <c r="B34" i="1"/>
  <c r="D34" i="1" s="1"/>
  <c r="C34" i="1" l="1"/>
  <c r="D33" i="4"/>
  <c r="C33" i="4"/>
  <c r="B34" i="4" s="1"/>
  <c r="C16" i="3"/>
  <c r="F15" i="3"/>
  <c r="D14" i="3"/>
  <c r="H13" i="3"/>
  <c r="G20" i="2"/>
  <c r="D21" i="2"/>
  <c r="E18" i="2"/>
  <c r="F18" i="2"/>
  <c r="C34" i="4" l="1"/>
  <c r="D34" i="4"/>
  <c r="G14" i="3"/>
  <c r="E14" i="3"/>
  <c r="F16" i="3"/>
  <c r="C17" i="3"/>
  <c r="F17" i="3" s="1"/>
  <c r="H18" i="2"/>
  <c r="C19" i="2"/>
  <c r="D22" i="2"/>
  <c r="G21" i="2"/>
  <c r="C13" i="1"/>
  <c r="D13" i="1"/>
  <c r="G13" i="1" s="1"/>
  <c r="F13" i="1" l="1"/>
  <c r="E13" i="1"/>
  <c r="H14" i="3"/>
  <c r="D15" i="3"/>
  <c r="G22" i="2"/>
  <c r="D23" i="2"/>
  <c r="G23" i="2" s="1"/>
  <c r="F19" i="2"/>
  <c r="E19" i="2"/>
  <c r="C14" i="1"/>
  <c r="F14" i="1"/>
  <c r="G15" i="3" l="1"/>
  <c r="E15" i="3"/>
  <c r="H19" i="2"/>
  <c r="C20" i="2"/>
  <c r="H13" i="1"/>
  <c r="D14" i="1"/>
  <c r="H15" i="3" l="1"/>
  <c r="D16" i="3"/>
  <c r="F20" i="2"/>
  <c r="E20" i="2"/>
  <c r="G14" i="1"/>
  <c r="D15" i="1"/>
  <c r="E14" i="1"/>
  <c r="E16" i="3" l="1"/>
  <c r="G16" i="3"/>
  <c r="H20" i="2"/>
  <c r="C21" i="2"/>
  <c r="C15" i="1"/>
  <c r="H14" i="1"/>
  <c r="G15" i="1"/>
  <c r="D16" i="1"/>
  <c r="G16" i="1" s="1"/>
  <c r="H16" i="3" l="1"/>
  <c r="D17" i="3"/>
  <c r="F21" i="2"/>
  <c r="E21" i="2"/>
  <c r="F15" i="1"/>
  <c r="E15" i="1"/>
  <c r="E17" i="3" l="1"/>
  <c r="D18" i="3"/>
  <c r="G17" i="3"/>
  <c r="H21" i="2"/>
  <c r="C22" i="2"/>
  <c r="H15" i="1"/>
  <c r="C16" i="1"/>
  <c r="G18" i="3" l="1"/>
  <c r="H17" i="3"/>
  <c r="C18" i="3"/>
  <c r="F22" i="2"/>
  <c r="E22" i="2"/>
  <c r="C17" i="1"/>
  <c r="E16" i="1"/>
  <c r="F16" i="1"/>
  <c r="F18" i="3" l="1"/>
  <c r="C19" i="3"/>
  <c r="E18" i="3"/>
  <c r="H22" i="2"/>
  <c r="C23" i="2"/>
  <c r="D17" i="1"/>
  <c r="H16" i="1"/>
  <c r="F17" i="1"/>
  <c r="E17" i="1"/>
  <c r="F19" i="3" l="1"/>
  <c r="C20" i="3"/>
  <c r="H18" i="3"/>
  <c r="D19" i="3"/>
  <c r="F23" i="2"/>
  <c r="E23" i="2"/>
  <c r="H23" i="2" s="1"/>
  <c r="H17" i="1"/>
  <c r="C18" i="1"/>
  <c r="G17" i="1"/>
  <c r="D18" i="1"/>
  <c r="G18" i="1" s="1"/>
  <c r="E19" i="3" l="1"/>
  <c r="G19" i="3"/>
  <c r="F20" i="3"/>
  <c r="C21" i="3"/>
  <c r="C19" i="1"/>
  <c r="E18" i="1"/>
  <c r="F18" i="1"/>
  <c r="C22" i="3" l="1"/>
  <c r="F21" i="3"/>
  <c r="H19" i="3"/>
  <c r="D20" i="3"/>
  <c r="H18" i="1"/>
  <c r="D19" i="1"/>
  <c r="F19" i="1"/>
  <c r="E19" i="1"/>
  <c r="E20" i="3" l="1"/>
  <c r="G20" i="3"/>
  <c r="F22" i="3"/>
  <c r="C23" i="3"/>
  <c r="F23" i="3" s="1"/>
  <c r="H19" i="1"/>
  <c r="C20" i="1"/>
  <c r="G19" i="1"/>
  <c r="D20" i="1"/>
  <c r="G20" i="1" s="1"/>
  <c r="H20" i="3" l="1"/>
  <c r="D21" i="3"/>
  <c r="C21" i="1"/>
  <c r="E20" i="1"/>
  <c r="F20" i="1"/>
  <c r="E21" i="3" l="1"/>
  <c r="G21" i="3"/>
  <c r="D21" i="1"/>
  <c r="H20" i="1"/>
  <c r="F21" i="1"/>
  <c r="E21" i="1"/>
  <c r="H21" i="3" l="1"/>
  <c r="D22" i="3"/>
  <c r="H21" i="1"/>
  <c r="C22" i="1"/>
  <c r="G21" i="1"/>
  <c r="D22" i="1"/>
  <c r="G22" i="1" s="1"/>
  <c r="E22" i="3" l="1"/>
  <c r="G22" i="3"/>
  <c r="C23" i="1"/>
  <c r="F22" i="1"/>
  <c r="E22" i="1"/>
  <c r="H22" i="3" l="1"/>
  <c r="D23" i="3"/>
  <c r="D23" i="1"/>
  <c r="G23" i="1" s="1"/>
  <c r="H22" i="1"/>
  <c r="F23" i="1"/>
  <c r="E23" i="3" l="1"/>
  <c r="H23" i="3" s="1"/>
  <c r="G23" i="3"/>
  <c r="E23" i="1"/>
  <c r="H23" i="1" s="1"/>
</calcChain>
</file>

<file path=xl/sharedStrings.xml><?xml version="1.0" encoding="utf-8"?>
<sst xmlns="http://schemas.openxmlformats.org/spreadsheetml/2006/main" count="81" uniqueCount="18">
  <si>
    <t>f(x)</t>
  </si>
  <si>
    <t>a</t>
  </si>
  <si>
    <t>b</t>
  </si>
  <si>
    <t>#</t>
  </si>
  <si>
    <t>m</t>
  </si>
  <si>
    <t>f(a)</t>
  </si>
  <si>
    <t>f(b)</t>
  </si>
  <si>
    <t>f(m)</t>
  </si>
  <si>
    <t>tol</t>
  </si>
  <si>
    <t>RAIZ</t>
  </si>
  <si>
    <t>X</t>
  </si>
  <si>
    <t>f'(x)</t>
  </si>
  <si>
    <t>NEWTON</t>
  </si>
  <si>
    <t>BISECCION</t>
  </si>
  <si>
    <t xml:space="preserve">SECANTE </t>
  </si>
  <si>
    <t xml:space="preserve"># </t>
  </si>
  <si>
    <t>intervalo [1-2]</t>
  </si>
  <si>
    <t>intervalo de [0-1]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</si>
</sst>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76A5A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76A5AF"/>
      </patternFill>
    </fill>
    <fill>
      <patternFill patternType="solid">
        <fgColor theme="6" tint="0.39997558519241921"/>
        <bgColor rgb="FF76A5A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Border="1" applyAlignment="1"/>
    <xf numFmtId="0" fontId="1" fillId="2" borderId="0" xfId="0" applyFont="1" applyFill="1" applyBorder="1"/>
    <xf numFmtId="0" fontId="0" fillId="0" borderId="0" xfId="0" applyFont="1" applyBorder="1" applyAlignment="1"/>
    <xf numFmtId="0" fontId="0" fillId="0" borderId="1" xfId="0" applyFont="1" applyBorder="1" applyAlignment="1"/>
    <xf numFmtId="0" fontId="3" fillId="3" borderId="0" xfId="0" applyFont="1" applyFill="1" applyBorder="1" applyAlignment="1"/>
    <xf numFmtId="0" fontId="2" fillId="0" borderId="0" xfId="0" applyFont="1" applyAlignment="1"/>
    <xf numFmtId="0" fontId="4" fillId="3" borderId="0" xfId="0" applyFont="1" applyFill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4" borderId="1" xfId="0" applyFont="1" applyFill="1" applyBorder="1" applyAlignment="1"/>
    <xf numFmtId="0" fontId="0" fillId="4" borderId="1" xfId="0" applyFont="1" applyFill="1" applyBorder="1" applyAlignment="1"/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0" fontId="4" fillId="3" borderId="0" xfId="0" applyFont="1" applyFill="1" applyBorder="1" applyAlignment="1"/>
    <xf numFmtId="0" fontId="0" fillId="8" borderId="1" xfId="0" applyFill="1" applyBorder="1"/>
    <xf numFmtId="0" fontId="0" fillId="9" borderId="0" xfId="0" applyFont="1" applyFill="1" applyAlignment="1"/>
    <xf numFmtId="0" fontId="1" fillId="10" borderId="1" xfId="0" applyFont="1" applyFill="1" applyBorder="1" applyAlignment="1"/>
    <xf numFmtId="0" fontId="0" fillId="11" borderId="0" xfId="0" applyFont="1" applyFill="1" applyAlignment="1"/>
    <xf numFmtId="0" fontId="1" fillId="12" borderId="1" xfId="0" applyFont="1" applyFill="1" applyBorder="1" applyAlignment="1"/>
    <xf numFmtId="0" fontId="1" fillId="1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0.png"/><Relationship Id="rId5" Type="http://schemas.openxmlformats.org/officeDocument/2006/relationships/image" Target="../media/image6.emf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4.png"/><Relationship Id="rId5" Type="http://schemas.openxmlformats.org/officeDocument/2006/relationships/image" Target="../media/image6.emf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6.emf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331305</xdr:colOff>
      <xdr:row>2</xdr:row>
      <xdr:rowOff>91108</xdr:rowOff>
    </xdr:from>
    <xdr:ext cx="4791075" cy="836543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b="53034"/>
        <a:stretch/>
      </xdr:blipFill>
      <xdr:spPr>
        <a:xfrm>
          <a:off x="331305" y="488673"/>
          <a:ext cx="4791075" cy="836543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97214</xdr:colOff>
      <xdr:row>0</xdr:row>
      <xdr:rowOff>183381</xdr:rowOff>
    </xdr:from>
    <xdr:to>
      <xdr:col>12</xdr:col>
      <xdr:colOff>621194</xdr:colOff>
      <xdr:row>17</xdr:row>
      <xdr:rowOff>47770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2418AA-C4DE-12DF-756F-000400CE8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6105" y="183381"/>
          <a:ext cx="3033611" cy="3044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721201</xdr:colOff>
      <xdr:row>23</xdr:row>
      <xdr:rowOff>157676</xdr:rowOff>
    </xdr:from>
    <xdr:to>
      <xdr:col>11</xdr:col>
      <xdr:colOff>288310</xdr:colOff>
      <xdr:row>27</xdr:row>
      <xdr:rowOff>72645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9F38978-5205-E571-E32A-4EBCA5A5A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00460" y="4402769"/>
          <a:ext cx="2071831" cy="608765"/>
        </a:xfrm>
        <a:prstGeom prst="rect">
          <a:avLst/>
        </a:prstGeom>
      </xdr:spPr>
    </xdr:pic>
    <xdr:clientData/>
  </xdr:twoCellAnchor>
  <xdr:twoCellAnchor editAs="oneCell">
    <xdr:from>
      <xdr:col>8</xdr:col>
      <xdr:colOff>665064</xdr:colOff>
      <xdr:row>29</xdr:row>
      <xdr:rowOff>21371</xdr:rowOff>
    </xdr:from>
    <xdr:to>
      <xdr:col>11</xdr:col>
      <xdr:colOff>251225</xdr:colOff>
      <xdr:row>34</xdr:row>
      <xdr:rowOff>33575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B6E8D08-ED36-9724-99AD-CF042C81E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44323" y="5289519"/>
          <a:ext cx="2090883" cy="835352"/>
        </a:xfrm>
        <a:prstGeom prst="rect">
          <a:avLst/>
        </a:prstGeom>
      </xdr:spPr>
    </xdr:pic>
    <xdr:clientData/>
  </xdr:twoCellAnchor>
  <xdr:twoCellAnchor editAs="oneCell">
    <xdr:from>
      <xdr:col>6</xdr:col>
      <xdr:colOff>82316</xdr:colOff>
      <xdr:row>28</xdr:row>
      <xdr:rowOff>48367</xdr:rowOff>
    </xdr:from>
    <xdr:to>
      <xdr:col>8</xdr:col>
      <xdr:colOff>223121</xdr:colOff>
      <xdr:row>32</xdr:row>
      <xdr:rowOff>50195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6A5333B-35C1-9312-B772-BCBB9593F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91760" y="5151886"/>
          <a:ext cx="1810620" cy="660346"/>
        </a:xfrm>
        <a:prstGeom prst="rect">
          <a:avLst/>
        </a:prstGeom>
      </xdr:spPr>
    </xdr:pic>
    <xdr:clientData/>
  </xdr:twoCellAnchor>
  <xdr:twoCellAnchor editAs="oneCell">
    <xdr:from>
      <xdr:col>7</xdr:col>
      <xdr:colOff>94074</xdr:colOff>
      <xdr:row>38</xdr:row>
      <xdr:rowOff>23518</xdr:rowOff>
    </xdr:from>
    <xdr:to>
      <xdr:col>10</xdr:col>
      <xdr:colOff>401863</xdr:colOff>
      <xdr:row>42</xdr:row>
      <xdr:rowOff>142880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D51D511-A093-4FB4-B10A-8DDD3C5C8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8426" y="6843888"/>
          <a:ext cx="2812511" cy="918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369336</xdr:colOff>
      <xdr:row>1</xdr:row>
      <xdr:rowOff>43948</xdr:rowOff>
    </xdr:from>
    <xdr:to>
      <xdr:col>10</xdr:col>
      <xdr:colOff>301301</xdr:colOff>
      <xdr:row>6</xdr:row>
      <xdr:rowOff>43949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C9A64-8214-9E29-6A72-C6100DD99B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1" t="43458" r="16653" b="33051"/>
        <a:stretch/>
      </xdr:blipFill>
      <xdr:spPr>
        <a:xfrm>
          <a:off x="369336" y="209178"/>
          <a:ext cx="7513087" cy="826149"/>
        </a:xfrm>
        <a:prstGeom prst="rect">
          <a:avLst/>
        </a:prstGeom>
      </xdr:spPr>
    </xdr:pic>
    <xdr:clientData/>
  </xdr:twoCellAnchor>
  <xdr:twoCellAnchor editAs="oneCell">
    <xdr:from>
      <xdr:col>8</xdr:col>
      <xdr:colOff>398494</xdr:colOff>
      <xdr:row>21</xdr:row>
      <xdr:rowOff>0</xdr:rowOff>
    </xdr:from>
    <xdr:to>
      <xdr:col>12</xdr:col>
      <xdr:colOff>281102</xdr:colOff>
      <xdr:row>23</xdr:row>
      <xdr:rowOff>22014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8E3113-4995-8FB9-0358-90EA942C9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3392" y="3469821"/>
          <a:ext cx="2915057" cy="35247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13</xdr:col>
      <xdr:colOff>18963</xdr:colOff>
      <xdr:row>28</xdr:row>
      <xdr:rowOff>151148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A85F030-676D-85D3-D78C-76A47C91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64898" y="4130740"/>
          <a:ext cx="3809524" cy="685714"/>
        </a:xfrm>
        <a:prstGeom prst="rect">
          <a:avLst/>
        </a:prstGeom>
      </xdr:spPr>
    </xdr:pic>
    <xdr:clientData/>
  </xdr:twoCellAnchor>
  <xdr:twoCellAnchor editAs="oneCell">
    <xdr:from>
      <xdr:col>5</xdr:col>
      <xdr:colOff>302012</xdr:colOff>
      <xdr:row>24</xdr:row>
      <xdr:rowOff>54207</xdr:rowOff>
    </xdr:from>
    <xdr:to>
      <xdr:col>7</xdr:col>
      <xdr:colOff>614568</xdr:colOff>
      <xdr:row>27</xdr:row>
      <xdr:rowOff>156319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DC19C1-EC03-4AA9-88CB-C8742C87D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6524" y="3957134"/>
          <a:ext cx="1830361" cy="628697"/>
        </a:xfrm>
        <a:prstGeom prst="rect">
          <a:avLst/>
        </a:prstGeom>
      </xdr:spPr>
    </xdr:pic>
    <xdr:clientData/>
  </xdr:twoCellAnchor>
  <xdr:twoCellAnchor editAs="oneCell">
    <xdr:from>
      <xdr:col>5</xdr:col>
      <xdr:colOff>613833</xdr:colOff>
      <xdr:row>36</xdr:row>
      <xdr:rowOff>52917</xdr:rowOff>
    </xdr:from>
    <xdr:to>
      <xdr:col>9</xdr:col>
      <xdr:colOff>405584</xdr:colOff>
      <xdr:row>42</xdr:row>
      <xdr:rowOff>39653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CEBAF67-3236-4559-82CA-E49D8140D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3833" y="5884334"/>
          <a:ext cx="2839751" cy="939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512884</xdr:colOff>
      <xdr:row>0</xdr:row>
      <xdr:rowOff>122115</xdr:rowOff>
    </xdr:from>
    <xdr:to>
      <xdr:col>16</xdr:col>
      <xdr:colOff>447567</xdr:colOff>
      <xdr:row>20</xdr:row>
      <xdr:rowOff>5067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56D8D09-23D7-A144-9B89-41853A085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84038" y="122115"/>
          <a:ext cx="4477375" cy="3057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1</xdr:row>
      <xdr:rowOff>38100</xdr:rowOff>
    </xdr:from>
    <xdr:to>
      <xdr:col>10</xdr:col>
      <xdr:colOff>114301</xdr:colOff>
      <xdr:row>5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FF0B0C-5611-B8BA-428B-D740769D5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3682" r="13891" b="14000"/>
        <a:stretch/>
      </xdr:blipFill>
      <xdr:spPr>
        <a:xfrm>
          <a:off x="228601" y="200025"/>
          <a:ext cx="7505700" cy="714375"/>
        </a:xfrm>
        <a:prstGeom prst="rect">
          <a:avLst/>
        </a:prstGeom>
      </xdr:spPr>
    </xdr:pic>
    <xdr:clientData/>
  </xdr:twoCellAnchor>
  <xdr:twoCellAnchor editAs="oneCell">
    <xdr:from>
      <xdr:col>7</xdr:col>
      <xdr:colOff>497417</xdr:colOff>
      <xdr:row>26</xdr:row>
      <xdr:rowOff>127000</xdr:rowOff>
    </xdr:from>
    <xdr:to>
      <xdr:col>11</xdr:col>
      <xdr:colOff>459737</xdr:colOff>
      <xdr:row>28</xdr:row>
      <xdr:rowOff>155624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4A60E2-D541-4672-1A5E-605015DA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31417" y="4370917"/>
          <a:ext cx="3010320" cy="346124"/>
        </a:xfrm>
        <a:prstGeom prst="rect">
          <a:avLst/>
        </a:prstGeom>
      </xdr:spPr>
    </xdr:pic>
    <xdr:clientData/>
  </xdr:twoCellAnchor>
  <xdr:twoCellAnchor editAs="oneCell">
    <xdr:from>
      <xdr:col>7</xdr:col>
      <xdr:colOff>211666</xdr:colOff>
      <xdr:row>30</xdr:row>
      <xdr:rowOff>52917</xdr:rowOff>
    </xdr:from>
    <xdr:to>
      <xdr:col>9</xdr:col>
      <xdr:colOff>602458</xdr:colOff>
      <xdr:row>33</xdr:row>
      <xdr:rowOff>129194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E54CBC-7941-1005-D72D-777FF16F7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45666" y="4931834"/>
          <a:ext cx="1914792" cy="552527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137584</xdr:colOff>
      <xdr:row>25</xdr:row>
      <xdr:rowOff>21167</xdr:rowOff>
    </xdr:from>
    <xdr:to>
      <xdr:col>7</xdr:col>
      <xdr:colOff>440371</xdr:colOff>
      <xdr:row>28</xdr:row>
      <xdr:rowOff>117580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1FA516B-D9FD-4DFC-8042-58B91D928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47584" y="4064000"/>
          <a:ext cx="1826787" cy="61499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9</xdr:col>
      <xdr:colOff>522428</xdr:colOff>
      <xdr:row>41</xdr:row>
      <xdr:rowOff>153669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939D44-9052-46D9-B86D-073A89BC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5567" y="5832835"/>
          <a:ext cx="2820212" cy="939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291583</xdr:colOff>
      <xdr:row>6</xdr:row>
      <xdr:rowOff>0</xdr:rowOff>
    </xdr:from>
    <xdr:to>
      <xdr:col>16</xdr:col>
      <xdr:colOff>233267</xdr:colOff>
      <xdr:row>23</xdr:row>
      <xdr:rowOff>153128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9005EB6-614F-AB77-DB02-D5DA7401D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14593" y="933061"/>
          <a:ext cx="5248470" cy="28745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</xdr:row>
      <xdr:rowOff>47625</xdr:rowOff>
    </xdr:from>
    <xdr:to>
      <xdr:col>10</xdr:col>
      <xdr:colOff>514350</xdr:colOff>
      <xdr:row>4</xdr:row>
      <xdr:rowOff>56750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1F4F33-D2CB-D1B1-370A-07C411C4DD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535" r="9607"/>
        <a:stretch/>
      </xdr:blipFill>
      <xdr:spPr>
        <a:xfrm>
          <a:off x="257175" y="209550"/>
          <a:ext cx="7877175" cy="4949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22</xdr:row>
      <xdr:rowOff>38100</xdr:rowOff>
    </xdr:from>
    <xdr:to>
      <xdr:col>9</xdr:col>
      <xdr:colOff>705043</xdr:colOff>
      <xdr:row>24</xdr:row>
      <xdr:rowOff>76251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2ADB70-0626-49BE-ADF7-60306938D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1725" y="3667125"/>
          <a:ext cx="1381318" cy="362001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23</xdr:row>
      <xdr:rowOff>152400</xdr:rowOff>
    </xdr:from>
    <xdr:to>
      <xdr:col>7</xdr:col>
      <xdr:colOff>417087</xdr:colOff>
      <xdr:row>27</xdr:row>
      <xdr:rowOff>78484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639F40-7BC6-48C2-981A-27B8F431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24300" y="3943350"/>
          <a:ext cx="1826787" cy="61188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11</xdr:col>
      <xdr:colOff>114635</xdr:colOff>
      <xdr:row>28</xdr:row>
      <xdr:rowOff>152489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7D1DDE5-7F55-3469-91C4-6C00F8265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0" y="4152900"/>
          <a:ext cx="2400635" cy="638264"/>
        </a:xfrm>
        <a:prstGeom prst="rect">
          <a:avLst/>
        </a:prstGeom>
      </xdr:spPr>
    </xdr:pic>
    <xdr:clientData/>
  </xdr:twoCellAnchor>
  <xdr:twoCellAnchor editAs="oneCell">
    <xdr:from>
      <xdr:col>10</xdr:col>
      <xdr:colOff>82074</xdr:colOff>
      <xdr:row>4</xdr:row>
      <xdr:rowOff>86141</xdr:rowOff>
    </xdr:from>
    <xdr:to>
      <xdr:col>16</xdr:col>
      <xdr:colOff>162247</xdr:colOff>
      <xdr:row>23</xdr:row>
      <xdr:rowOff>98200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70933A-0655-9688-EF2C-0C4F99D52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56170" y="728792"/>
          <a:ext cx="4624631" cy="3133504"/>
        </a:xfrm>
        <a:prstGeom prst="rect">
          <a:avLst/>
        </a:prstGeom>
      </xdr:spPr>
    </xdr:pic>
    <xdr:clientData/>
  </xdr:twoCellAnchor>
  <xdr:twoCellAnchor editAs="oneCell">
    <xdr:from>
      <xdr:col>5</xdr:col>
      <xdr:colOff>291757</xdr:colOff>
      <xdr:row>34</xdr:row>
      <xdr:rowOff>51487</xdr:rowOff>
    </xdr:from>
    <xdr:to>
      <xdr:col>9</xdr:col>
      <xdr:colOff>52840</xdr:colOff>
      <xdr:row>39</xdr:row>
      <xdr:rowOff>135943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956429E-6290-46F6-A716-14BC6473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0338" y="5697838"/>
          <a:ext cx="2815948" cy="968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J44"/>
  <sheetViews>
    <sheetView topLeftCell="A23" zoomScale="92" workbookViewId="0">
      <selection activeCell="E39" sqref="E39"/>
    </sheetView>
  </sheetViews>
  <sheetFormatPr baseColWidth="10" defaultColWidth="12.5703125" defaultRowHeight="15.75" customHeight="1" x14ac:dyDescent="0.2"/>
  <sheetData>
    <row r="3" spans="2:9" ht="12.75" x14ac:dyDescent="0.2"/>
    <row r="4" spans="2:9" ht="12.75" x14ac:dyDescent="0.2"/>
    <row r="5" spans="2:9" ht="12.75" x14ac:dyDescent="0.2">
      <c r="F5" s="1" t="s">
        <v>1</v>
      </c>
    </row>
    <row r="6" spans="2:9" x14ac:dyDescent="0.2">
      <c r="F6" s="1" t="s">
        <v>2</v>
      </c>
    </row>
    <row r="9" spans="2:9" ht="15.75" customHeight="1" x14ac:dyDescent="0.25">
      <c r="B9" s="8" t="s">
        <v>13</v>
      </c>
      <c r="C9" s="8"/>
    </row>
    <row r="11" spans="2:9" ht="12.75" x14ac:dyDescent="0.2">
      <c r="B11" s="23" t="s">
        <v>3</v>
      </c>
      <c r="C11" s="23" t="s">
        <v>1</v>
      </c>
      <c r="D11" s="23" t="s">
        <v>2</v>
      </c>
      <c r="E11" s="23" t="s">
        <v>4</v>
      </c>
      <c r="F11" s="23" t="s">
        <v>5</v>
      </c>
      <c r="G11" s="23" t="s">
        <v>6</v>
      </c>
      <c r="H11" s="23" t="s">
        <v>7</v>
      </c>
      <c r="I11" s="23" t="s">
        <v>8</v>
      </c>
    </row>
    <row r="12" spans="2:9" ht="12.75" x14ac:dyDescent="0.2">
      <c r="B12" s="22">
        <v>1</v>
      </c>
      <c r="C12" s="9">
        <v>3</v>
      </c>
      <c r="D12" s="9">
        <v>4</v>
      </c>
      <c r="E12" s="10">
        <f>(C12+D12)/2</f>
        <v>3.5</v>
      </c>
      <c r="F12" s="10">
        <f>(C12^3)-EXP(0.8*C12)-20</f>
        <v>-4.0231763806416048</v>
      </c>
      <c r="G12" s="10">
        <f>(D12^3)-EXP(0.8*D12)-20</f>
        <v>19.467469802890648</v>
      </c>
      <c r="H12" s="10">
        <f>(E12^3)-EXP(0.8*E12)-20</f>
        <v>6.4303532289029448</v>
      </c>
      <c r="I12" s="9">
        <v>5.0000000000000001E-4</v>
      </c>
    </row>
    <row r="13" spans="2:9" ht="15.75" customHeight="1" x14ac:dyDescent="0.2">
      <c r="B13" s="22">
        <v>2</v>
      </c>
      <c r="C13" s="10">
        <f t="shared" ref="C13:C14" si="0">C12</f>
        <v>3</v>
      </c>
      <c r="D13" s="10">
        <f t="shared" ref="D13:D14" si="1">E12</f>
        <v>3.5</v>
      </c>
      <c r="E13" s="10">
        <f>(C13+D13)/2</f>
        <v>3.25</v>
      </c>
      <c r="F13" s="10">
        <f t="shared" ref="F13:H13" si="2">(C13^3)-EXP(0.8*C13)-20</f>
        <v>-4.0231763806416048</v>
      </c>
      <c r="G13" s="10">
        <f>(D13^3)-EXP(0.8*D13)-20</f>
        <v>6.4303532289029448</v>
      </c>
      <c r="H13" s="10">
        <f t="shared" si="2"/>
        <v>0.86438696499831025</v>
      </c>
    </row>
    <row r="14" spans="2:9" ht="15.75" customHeight="1" x14ac:dyDescent="0.2">
      <c r="B14" s="22">
        <v>3</v>
      </c>
      <c r="C14" s="10">
        <f t="shared" si="0"/>
        <v>3</v>
      </c>
      <c r="D14" s="10">
        <f t="shared" si="1"/>
        <v>3.25</v>
      </c>
      <c r="E14" s="10">
        <f t="shared" ref="E12:E23" si="3">(C14+D14)/2</f>
        <v>3.125</v>
      </c>
      <c r="F14" s="10">
        <f t="shared" ref="F14:H14" si="4">(C14^3)-EXP(0.8*C14)-20</f>
        <v>-4.0231763806416048</v>
      </c>
      <c r="G14" s="10">
        <f t="shared" si="4"/>
        <v>0.86438696499831025</v>
      </c>
      <c r="H14" s="10">
        <f t="shared" si="4"/>
        <v>-1.664915835703475</v>
      </c>
      <c r="I14" s="5"/>
    </row>
    <row r="15" spans="2:9" ht="15.75" customHeight="1" x14ac:dyDescent="0.2">
      <c r="B15" s="22">
        <v>4</v>
      </c>
      <c r="C15" s="10">
        <f t="shared" ref="C15:C16" si="5">E14</f>
        <v>3.125</v>
      </c>
      <c r="D15" s="10">
        <f t="shared" ref="D15:D16" si="6">D14</f>
        <v>3.25</v>
      </c>
      <c r="E15" s="10">
        <f t="shared" si="3"/>
        <v>3.1875</v>
      </c>
      <c r="F15" s="10">
        <f t="shared" ref="F15:H15" si="7">(C15^3)-EXP(0.8*C15)-20</f>
        <v>-1.664915835703475</v>
      </c>
      <c r="G15" s="10">
        <f t="shared" si="7"/>
        <v>0.86438696499831025</v>
      </c>
      <c r="H15" s="10">
        <f t="shared" si="7"/>
        <v>-0.42160573578803451</v>
      </c>
      <c r="I15" s="5"/>
    </row>
    <row r="16" spans="2:9" ht="12.75" x14ac:dyDescent="0.2">
      <c r="B16" s="22">
        <v>5</v>
      </c>
      <c r="C16" s="10">
        <f t="shared" si="5"/>
        <v>3.1875</v>
      </c>
      <c r="D16" s="10">
        <f t="shared" si="6"/>
        <v>3.25</v>
      </c>
      <c r="E16" s="10">
        <f t="shared" si="3"/>
        <v>3.21875</v>
      </c>
      <c r="F16" s="10">
        <f t="shared" ref="F16:H16" si="8">(C16^3)-EXP(0.8*C16)-20</f>
        <v>-0.42160573578803451</v>
      </c>
      <c r="G16" s="10">
        <f t="shared" si="8"/>
        <v>0.86438696499831025</v>
      </c>
      <c r="H16" s="10">
        <f t="shared" si="8"/>
        <v>0.21606443330685821</v>
      </c>
      <c r="I16" s="5"/>
    </row>
    <row r="17" spans="1:10" ht="15.75" customHeight="1" x14ac:dyDescent="0.2">
      <c r="B17" s="22">
        <v>6</v>
      </c>
      <c r="C17" s="10">
        <f>C16</f>
        <v>3.1875</v>
      </c>
      <c r="D17" s="10">
        <f>E16</f>
        <v>3.21875</v>
      </c>
      <c r="E17" s="10">
        <f t="shared" si="3"/>
        <v>3.203125</v>
      </c>
      <c r="F17" s="10">
        <f t="shared" ref="F17:H17" si="9">(C17^3)-EXP(0.8*C17)-20</f>
        <v>-0.42160573578803451</v>
      </c>
      <c r="G17" s="10">
        <f t="shared" si="9"/>
        <v>0.21606443330685821</v>
      </c>
      <c r="H17" s="10">
        <f t="shared" si="9"/>
        <v>-0.10410353645155368</v>
      </c>
      <c r="I17" s="5"/>
    </row>
    <row r="18" spans="1:10" ht="15.75" customHeight="1" x14ac:dyDescent="0.2">
      <c r="B18" s="22">
        <v>7</v>
      </c>
      <c r="C18" s="10">
        <f>E17</f>
        <v>3.203125</v>
      </c>
      <c r="D18" s="10">
        <f>D17</f>
        <v>3.21875</v>
      </c>
      <c r="E18" s="10">
        <f t="shared" si="3"/>
        <v>3.2109375</v>
      </c>
      <c r="F18" s="10">
        <f t="shared" ref="F18:H18" si="10">(C18^3)-EXP(0.8*C18)-20</f>
        <v>-0.10410353645155368</v>
      </c>
      <c r="G18" s="10">
        <f t="shared" si="10"/>
        <v>0.21606443330685821</v>
      </c>
      <c r="H18" s="10">
        <f t="shared" si="10"/>
        <v>5.5647382134296208E-2</v>
      </c>
      <c r="I18" s="5"/>
    </row>
    <row r="19" spans="1:10" ht="15.75" customHeight="1" x14ac:dyDescent="0.2">
      <c r="B19" s="22">
        <v>8</v>
      </c>
      <c r="C19" s="10">
        <f>C18</f>
        <v>3.203125</v>
      </c>
      <c r="D19" s="10">
        <f>E18</f>
        <v>3.2109375</v>
      </c>
      <c r="E19" s="10">
        <f t="shared" si="3"/>
        <v>3.20703125</v>
      </c>
      <c r="F19" s="10">
        <f t="shared" ref="F19:H19" si="11">(C19^3)-EXP(0.8*C19)-20</f>
        <v>-0.10410353645155368</v>
      </c>
      <c r="G19" s="10">
        <f t="shared" si="11"/>
        <v>5.5647382134296208E-2</v>
      </c>
      <c r="H19" s="10">
        <f t="shared" si="11"/>
        <v>-2.4311363882567605E-2</v>
      </c>
      <c r="I19" s="5"/>
    </row>
    <row r="20" spans="1:10" ht="12.75" x14ac:dyDescent="0.2">
      <c r="B20" s="22">
        <v>9</v>
      </c>
      <c r="C20" s="10">
        <f>E19</f>
        <v>3.20703125</v>
      </c>
      <c r="D20" s="10">
        <f>D19</f>
        <v>3.2109375</v>
      </c>
      <c r="E20" s="10">
        <f t="shared" si="3"/>
        <v>3.208984375</v>
      </c>
      <c r="F20" s="10">
        <f t="shared" ref="F20:H20" si="12">(C20^3)-EXP(0.8*C20)-20</f>
        <v>-2.4311363882567605E-2</v>
      </c>
      <c r="G20" s="10">
        <f t="shared" si="12"/>
        <v>5.5647382134296208E-2</v>
      </c>
      <c r="H20" s="10">
        <f t="shared" si="12"/>
        <v>1.5647189915139137E-2</v>
      </c>
      <c r="I20" s="5"/>
    </row>
    <row r="21" spans="1:10" ht="12.75" x14ac:dyDescent="0.2">
      <c r="B21" s="22">
        <v>10</v>
      </c>
      <c r="C21" s="10">
        <f>C20</f>
        <v>3.20703125</v>
      </c>
      <c r="D21" s="10">
        <f>E20</f>
        <v>3.208984375</v>
      </c>
      <c r="E21" s="10">
        <f t="shared" si="3"/>
        <v>3.2080078125</v>
      </c>
      <c r="F21" s="10">
        <f t="shared" ref="F21:H21" si="13">(C21^3)-EXP(0.8*C21)-20</f>
        <v>-2.4311363882567605E-2</v>
      </c>
      <c r="G21" s="10">
        <f t="shared" si="13"/>
        <v>1.5647189915139137E-2</v>
      </c>
      <c r="H21" s="10">
        <f t="shared" si="13"/>
        <v>-4.3372920982065466E-3</v>
      </c>
      <c r="I21" s="5"/>
    </row>
    <row r="22" spans="1:10" ht="12.75" x14ac:dyDescent="0.2">
      <c r="B22" s="22">
        <v>11</v>
      </c>
      <c r="C22" s="10">
        <f>E21</f>
        <v>3.2080078125</v>
      </c>
      <c r="D22" s="10">
        <f>D21</f>
        <v>3.208984375</v>
      </c>
      <c r="E22" s="12">
        <f t="shared" si="3"/>
        <v>3.20849609375</v>
      </c>
      <c r="F22" s="10">
        <f t="shared" ref="F22:H22" si="14">(C22^3)-EXP(0.8*C22)-20</f>
        <v>-4.3372920982065466E-3</v>
      </c>
      <c r="G22" s="10">
        <f>(D22^3)-EXP(0.8*D22)-20</f>
        <v>1.5647189915139137E-2</v>
      </c>
      <c r="H22" s="10">
        <f t="shared" si="14"/>
        <v>5.6536476686304127E-3</v>
      </c>
      <c r="I22" s="5"/>
    </row>
    <row r="23" spans="1:10" ht="12.75" x14ac:dyDescent="0.2">
      <c r="B23" s="22">
        <v>12</v>
      </c>
      <c r="C23" s="10">
        <f>C22</f>
        <v>3.2080078125</v>
      </c>
      <c r="D23" s="10">
        <f>E22</f>
        <v>3.20849609375</v>
      </c>
      <c r="E23" s="11">
        <f t="shared" si="3"/>
        <v>3.208251953125</v>
      </c>
      <c r="F23" s="10">
        <f t="shared" ref="F23:H23" si="15">(C23^3)-EXP(0.8*C23)-20</f>
        <v>-4.3372920982065466E-3</v>
      </c>
      <c r="G23" s="10">
        <f t="shared" si="15"/>
        <v>5.6536476686304127E-3</v>
      </c>
      <c r="H23" s="10">
        <f t="shared" si="15"/>
        <v>6.5785247038974148E-4</v>
      </c>
      <c r="I23" s="5"/>
    </row>
    <row r="24" spans="1:10" ht="12.75" x14ac:dyDescent="0.2">
      <c r="H24" s="13" t="s">
        <v>9</v>
      </c>
      <c r="J24" s="1"/>
    </row>
    <row r="25" spans="1:10" x14ac:dyDescent="0.25">
      <c r="B25" s="6" t="s">
        <v>12</v>
      </c>
      <c r="C25" s="4"/>
    </row>
    <row r="26" spans="1:10" ht="12.75" x14ac:dyDescent="0.2">
      <c r="B26" s="2"/>
      <c r="C26" s="4"/>
    </row>
    <row r="27" spans="1:10" ht="12.75" x14ac:dyDescent="0.2">
      <c r="A27" s="2"/>
      <c r="B27" s="15" t="s">
        <v>10</v>
      </c>
      <c r="C27" s="16" t="s">
        <v>0</v>
      </c>
      <c r="D27" s="16" t="s">
        <v>11</v>
      </c>
      <c r="E27" s="16" t="s">
        <v>8</v>
      </c>
    </row>
    <row r="28" spans="1:10" ht="12.75" x14ac:dyDescent="0.2">
      <c r="B28" s="5">
        <v>3.5</v>
      </c>
      <c r="C28" s="5">
        <f>+(B28^3)-EXP(0.8*B28)-20</f>
        <v>6.4303532289029448</v>
      </c>
      <c r="D28" s="5">
        <f>(3*B28^2)-(0.8*EXP(0.8*B28))</f>
        <v>23.594282583122357</v>
      </c>
      <c r="E28" s="14">
        <v>5.0000000000000001E-4</v>
      </c>
    </row>
    <row r="29" spans="1:10" ht="12.75" x14ac:dyDescent="0.2">
      <c r="A29" s="4"/>
      <c r="B29" s="5">
        <f>+B28-(C28/D28)</f>
        <v>3.2274613794147422</v>
      </c>
      <c r="C29" s="5">
        <f>+(B29^3)-EXP(0.8*B29)-20</f>
        <v>0.39572361474333917</v>
      </c>
      <c r="D29" s="5">
        <f>(3*B29^2)-(0.8*EXP(0.8*B29))</f>
        <v>20.67100063251717</v>
      </c>
    </row>
    <row r="30" spans="1:10" ht="12.75" x14ac:dyDescent="0.2">
      <c r="A30" s="2"/>
      <c r="B30" s="5">
        <f>+B29-(C29/D29)</f>
        <v>3.2083174772022467</v>
      </c>
      <c r="C30" s="5">
        <f>+(B30^3)-EXP(0.8*B30)-20</f>
        <v>1.9985931829964443E-3</v>
      </c>
      <c r="D30" s="5">
        <f>(3*B30^2)-(0.8*EXP(0.8*B30))</f>
        <v>20.462159892383411</v>
      </c>
    </row>
    <row r="31" spans="1:10" ht="12.75" x14ac:dyDescent="0.2">
      <c r="A31" s="2"/>
      <c r="B31" s="14">
        <f>+B30-(C30/D30)</f>
        <v>3.2082198045619434</v>
      </c>
      <c r="C31" s="5">
        <f>+(B31^3)-EXP(0.8*B31)-20</f>
        <v>5.2067743894212981E-8</v>
      </c>
      <c r="D31" s="5">
        <f>(3*B31^2)-(0.8*EXP(0.8*B31))</f>
        <v>20.461093722955745</v>
      </c>
    </row>
    <row r="32" spans="1:10" ht="12.75" x14ac:dyDescent="0.2">
      <c r="A32" s="2"/>
      <c r="B32" s="5">
        <f t="shared" ref="B32:B33" si="16">+B31-(C31/D31)</f>
        <v>3.2082198020172239</v>
      </c>
      <c r="C32" s="5">
        <f t="shared" ref="C32:C34" si="17">+(B32^3)-EXP(0.8*B32)-20</f>
        <v>0</v>
      </c>
      <c r="D32" s="5">
        <f t="shared" ref="D32:D33" si="18">(3*B32^2)-(0.8*EXP(0.8*B32))</f>
        <v>20.46109369517816</v>
      </c>
    </row>
    <row r="33" spans="1:5" ht="12.75" x14ac:dyDescent="0.2">
      <c r="A33" s="2"/>
      <c r="B33" s="5">
        <f t="shared" si="16"/>
        <v>3.2082198020172239</v>
      </c>
      <c r="C33" s="5">
        <f t="shared" si="17"/>
        <v>0</v>
      </c>
      <c r="D33" s="5">
        <f t="shared" si="18"/>
        <v>20.46109369517816</v>
      </c>
    </row>
    <row r="34" spans="1:5" ht="12.75" x14ac:dyDescent="0.2">
      <c r="A34" s="3"/>
      <c r="B34" s="5">
        <f t="shared" ref="B34" si="19">+B33-(C33/D33)</f>
        <v>3.2082198020172239</v>
      </c>
      <c r="C34" s="5">
        <f t="shared" si="17"/>
        <v>0</v>
      </c>
      <c r="D34" s="5">
        <f t="shared" ref="D34" si="20">(3*B34^2)-(0.8*EXP(0.8*B34))</f>
        <v>20.46109369517816</v>
      </c>
    </row>
    <row r="35" spans="1:5" ht="12.75" x14ac:dyDescent="0.2">
      <c r="A35" s="3"/>
      <c r="B35" s="4"/>
      <c r="C35" s="4"/>
    </row>
    <row r="36" spans="1:5" ht="18" x14ac:dyDescent="0.25">
      <c r="A36" s="3"/>
      <c r="B36" s="17" t="s">
        <v>14</v>
      </c>
      <c r="C36" s="4"/>
    </row>
    <row r="37" spans="1:5" ht="15.75" customHeight="1" x14ac:dyDescent="0.2">
      <c r="A37" s="4"/>
      <c r="B37" s="4"/>
      <c r="C37" s="4"/>
    </row>
    <row r="38" spans="1:5" ht="15.75" customHeight="1" x14ac:dyDescent="0.2">
      <c r="A38" s="4"/>
      <c r="B38" s="18" t="s">
        <v>15</v>
      </c>
      <c r="C38" s="18" t="s">
        <v>10</v>
      </c>
      <c r="D38" s="18" t="s">
        <v>0</v>
      </c>
      <c r="E38" s="18" t="s">
        <v>8</v>
      </c>
    </row>
    <row r="39" spans="1:5" ht="15.75" customHeight="1" x14ac:dyDescent="0.2">
      <c r="A39" s="4"/>
      <c r="B39" s="5">
        <v>0</v>
      </c>
      <c r="C39" s="5">
        <v>3</v>
      </c>
      <c r="D39" s="5">
        <f>+C39^3 - EXP(0.8*C39)-20</f>
        <v>-4.0231763806416048</v>
      </c>
      <c r="E39" s="14">
        <v>5.0000000000000001E-4</v>
      </c>
    </row>
    <row r="40" spans="1:5" ht="15.75" customHeight="1" x14ac:dyDescent="0.2">
      <c r="B40" s="5">
        <v>1</v>
      </c>
      <c r="C40" s="5">
        <v>4</v>
      </c>
      <c r="D40" s="5">
        <f>+C40^3 - EXP(0.8*C40)-20</f>
        <v>19.467469802890648</v>
      </c>
    </row>
    <row r="41" spans="1:5" ht="15.75" customHeight="1" x14ac:dyDescent="0.2">
      <c r="B41" s="5">
        <v>2</v>
      </c>
      <c r="C41" s="5">
        <f>+C40-(D40*(C39-C40)/(D39-D40))</f>
        <v>3.1712671652030582</v>
      </c>
      <c r="D41" s="5">
        <f>+C41^3 - EXP(0.8*C41)-20</f>
        <v>-0.74863343680182481</v>
      </c>
    </row>
    <row r="42" spans="1:5" ht="15.75" customHeight="1" x14ac:dyDescent="0.2">
      <c r="B42" s="5">
        <v>3</v>
      </c>
      <c r="C42" s="5">
        <f>+C41-(D41*(C40-C41)/(D40-D41))</f>
        <v>3.2019564183666658</v>
      </c>
      <c r="D42" s="5">
        <f>+C42^3 - EXP(0.8*C42)-20</f>
        <v>-0.12794153995860569</v>
      </c>
    </row>
    <row r="43" spans="1:5" ht="15.75" customHeight="1" x14ac:dyDescent="0.2">
      <c r="B43" s="5">
        <v>4</v>
      </c>
      <c r="C43" s="5">
        <f t="shared" ref="C43:C44" si="21">+C42-(D42*(C41-C42)/(D41-D42))</f>
        <v>3.2082823110195275</v>
      </c>
      <c r="D43" s="5">
        <f t="shared" ref="D43:D44" si="22">+C43^3 - EXP(0.8*C43)-20</f>
        <v>1.2790238789150976E-3</v>
      </c>
    </row>
    <row r="44" spans="1:5" ht="15.75" customHeight="1" x14ac:dyDescent="0.2">
      <c r="B44" s="5">
        <v>5</v>
      </c>
      <c r="C44" s="14">
        <f t="shared" si="21"/>
        <v>3.208219697395827</v>
      </c>
      <c r="D44" s="5">
        <f t="shared" si="22"/>
        <v>-2.1406681440794273E-6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5044-2446-4442-B57D-24E911D2D9D4}">
  <dimension ref="B8:I45"/>
  <sheetViews>
    <sheetView topLeftCell="A27" zoomScale="78" workbookViewId="0">
      <selection activeCell="G33" sqref="G33"/>
    </sheetView>
  </sheetViews>
  <sheetFormatPr baseColWidth="10" defaultRowHeight="12.75" x14ac:dyDescent="0.2"/>
  <sheetData>
    <row r="8" spans="2:9" x14ac:dyDescent="0.2">
      <c r="C8" s="7" t="s">
        <v>16</v>
      </c>
    </row>
    <row r="10" spans="2:9" x14ac:dyDescent="0.2">
      <c r="B10" s="20" t="s">
        <v>3</v>
      </c>
      <c r="C10" s="20" t="s">
        <v>1</v>
      </c>
      <c r="D10" s="20" t="s">
        <v>2</v>
      </c>
      <c r="E10" s="20" t="s">
        <v>4</v>
      </c>
      <c r="F10" s="20" t="s">
        <v>5</v>
      </c>
      <c r="G10" s="20" t="s">
        <v>6</v>
      </c>
      <c r="H10" s="20" t="s">
        <v>7</v>
      </c>
      <c r="I10" s="20" t="s">
        <v>8</v>
      </c>
    </row>
    <row r="11" spans="2:9" x14ac:dyDescent="0.2">
      <c r="B11">
        <v>0</v>
      </c>
      <c r="C11">
        <v>1</v>
      </c>
      <c r="D11">
        <v>2</v>
      </c>
      <c r="E11">
        <f>+(C11+D11)/2</f>
        <v>1.5</v>
      </c>
      <c r="F11" s="21">
        <f>+C11^2-1.25*C11-0.75</f>
        <v>-1</v>
      </c>
      <c r="G11">
        <f>+D11^2-1.25*D11-0.75</f>
        <v>0.75</v>
      </c>
      <c r="H11">
        <f>+E11^2-(1.25*E11)-0.75</f>
        <v>-0.375</v>
      </c>
      <c r="I11">
        <v>1E-4</v>
      </c>
    </row>
    <row r="12" spans="2:9" x14ac:dyDescent="0.2">
      <c r="B12">
        <v>1</v>
      </c>
      <c r="C12">
        <f>+E11</f>
        <v>1.5</v>
      </c>
      <c r="D12">
        <f>+D11</f>
        <v>2</v>
      </c>
      <c r="E12">
        <f>+(C12+D12)/2</f>
        <v>1.75</v>
      </c>
      <c r="F12" s="21">
        <f>+C12^2-(1.25*C12)-0.75</f>
        <v>-0.375</v>
      </c>
      <c r="G12">
        <f>+D12^2-(1.25*D12)-0.75</f>
        <v>0.75</v>
      </c>
      <c r="H12">
        <f>+E12^2-(1.25*E12)-0.75</f>
        <v>0.125</v>
      </c>
    </row>
    <row r="13" spans="2:9" x14ac:dyDescent="0.2">
      <c r="B13">
        <v>2</v>
      </c>
      <c r="C13">
        <f>+C12</f>
        <v>1.5</v>
      </c>
      <c r="D13">
        <f>+E12</f>
        <v>1.75</v>
      </c>
      <c r="E13">
        <f>+(C13+D13)/2</f>
        <v>1.625</v>
      </c>
      <c r="F13" s="21">
        <f>+C13^2-(1.25*C13)-0.75</f>
        <v>-0.375</v>
      </c>
      <c r="G13">
        <f>+D13^2-(1.25*D13)-0.75</f>
        <v>0.125</v>
      </c>
      <c r="H13">
        <f>+E13^2-(1.25*E13)-0.75</f>
        <v>-0.140625</v>
      </c>
    </row>
    <row r="14" spans="2:9" x14ac:dyDescent="0.2">
      <c r="B14">
        <v>3</v>
      </c>
      <c r="C14">
        <f>+E13</f>
        <v>1.625</v>
      </c>
      <c r="D14">
        <f>+D13</f>
        <v>1.75</v>
      </c>
      <c r="E14">
        <f>+(C14+D14)/2</f>
        <v>1.6875</v>
      </c>
      <c r="F14" s="21">
        <f>+C14^2-(1.25*C14)-0.75</f>
        <v>-0.140625</v>
      </c>
      <c r="G14">
        <f>+D14^2-(1.25*D14)-0.75</f>
        <v>0.125</v>
      </c>
      <c r="H14">
        <f>+E14^2-(1.25*E14)-0.75</f>
        <v>-1.171875E-2</v>
      </c>
    </row>
    <row r="15" spans="2:9" x14ac:dyDescent="0.2">
      <c r="B15">
        <v>4</v>
      </c>
      <c r="C15">
        <f>+C14</f>
        <v>1.625</v>
      </c>
      <c r="D15">
        <f>+E14</f>
        <v>1.6875</v>
      </c>
      <c r="E15">
        <f>+(C15+D15)/2</f>
        <v>1.65625</v>
      </c>
      <c r="F15" s="21">
        <f>+C15^2-(1.25*C15)-0.75</f>
        <v>-0.140625</v>
      </c>
      <c r="G15">
        <f>+D15^2-(1.25*D15)-0.75</f>
        <v>-1.171875E-2</v>
      </c>
      <c r="H15">
        <f>+E15^2-(1.25*E15)-0.75</f>
        <v>-7.71484375E-2</v>
      </c>
    </row>
    <row r="16" spans="2:9" x14ac:dyDescent="0.2">
      <c r="B16">
        <v>5</v>
      </c>
      <c r="C16">
        <f>+E15</f>
        <v>1.65625</v>
      </c>
      <c r="D16">
        <f>+D15</f>
        <v>1.6875</v>
      </c>
      <c r="E16">
        <f>+(C16+D16)/2</f>
        <v>1.671875</v>
      </c>
      <c r="F16" s="21">
        <f>+C16^2-(1.25*C16)-0.75</f>
        <v>-7.71484375E-2</v>
      </c>
      <c r="G16">
        <f>+D16^2-(1.25*D16)-0.75</f>
        <v>-1.171875E-2</v>
      </c>
      <c r="H16">
        <f>+E16^2-(1.25*E16)-0.75</f>
        <v>-4.4677734375E-2</v>
      </c>
    </row>
    <row r="17" spans="2:8" x14ac:dyDescent="0.2">
      <c r="B17">
        <v>6</v>
      </c>
      <c r="C17">
        <f>+E16</f>
        <v>1.671875</v>
      </c>
      <c r="D17">
        <f>+D16</f>
        <v>1.6875</v>
      </c>
      <c r="E17">
        <f>+(C17+D17)/2</f>
        <v>1.6796875</v>
      </c>
      <c r="F17" s="21">
        <f>+C17^2-(1.25*C17)-0.75</f>
        <v>-4.4677734375E-2</v>
      </c>
      <c r="G17">
        <f>+D17^2-(1.25*D17)-0.75</f>
        <v>-1.171875E-2</v>
      </c>
      <c r="H17">
        <f>+E17^2-(1.25*E17)-0.75</f>
        <v>-2.825927734375E-2</v>
      </c>
    </row>
    <row r="18" spans="2:8" x14ac:dyDescent="0.2">
      <c r="B18">
        <v>7</v>
      </c>
      <c r="C18">
        <f>+E17</f>
        <v>1.6796875</v>
      </c>
      <c r="D18">
        <f>+D17</f>
        <v>1.6875</v>
      </c>
      <c r="E18">
        <f>+(C18+D18)/2</f>
        <v>1.68359375</v>
      </c>
      <c r="F18" s="21">
        <f>+C18^2-(1.25*C18)-0.75</f>
        <v>-2.825927734375E-2</v>
      </c>
      <c r="G18">
        <f>+D18^2-(1.25*D18)-0.75</f>
        <v>-1.171875E-2</v>
      </c>
      <c r="H18">
        <f>+E18^2-(1.25*E18)-0.75</f>
        <v>-2.00042724609375E-2</v>
      </c>
    </row>
    <row r="19" spans="2:8" x14ac:dyDescent="0.2">
      <c r="B19">
        <v>8</v>
      </c>
      <c r="C19">
        <f>+E18</f>
        <v>1.68359375</v>
      </c>
      <c r="D19">
        <f>+D18</f>
        <v>1.6875</v>
      </c>
      <c r="E19">
        <f>+(C19+D19)/2</f>
        <v>1.685546875</v>
      </c>
      <c r="F19" s="21">
        <f>+C19^2-(1.25*C19)-0.75</f>
        <v>-2.00042724609375E-2</v>
      </c>
      <c r="G19">
        <f>+D19^2-(1.25*D19)-0.75</f>
        <v>-1.171875E-2</v>
      </c>
      <c r="H19">
        <f>+E19^2-(1.25*E19)-0.75</f>
        <v>-1.5865325927734375E-2</v>
      </c>
    </row>
    <row r="20" spans="2:8" x14ac:dyDescent="0.2">
      <c r="B20">
        <v>9</v>
      </c>
      <c r="C20">
        <f>+E19</f>
        <v>1.685546875</v>
      </c>
      <c r="D20">
        <f>+D19</f>
        <v>1.6875</v>
      </c>
      <c r="E20">
        <f>+(C20+D20)/2</f>
        <v>1.6865234375</v>
      </c>
      <c r="F20" s="21">
        <f>+C20^2-(1.25*C20)-0.75</f>
        <v>-1.5865325927734375E-2</v>
      </c>
      <c r="G20">
        <f>+D20^2-(1.25*D20)-0.75</f>
        <v>-1.171875E-2</v>
      </c>
      <c r="H20">
        <f>+E20^2-(1.25*E20)-0.75</f>
        <v>-1.3792991638183594E-2</v>
      </c>
    </row>
    <row r="21" spans="2:8" x14ac:dyDescent="0.2">
      <c r="B21">
        <v>10</v>
      </c>
      <c r="C21">
        <f>+E20</f>
        <v>1.6865234375</v>
      </c>
      <c r="D21">
        <f>+D20</f>
        <v>1.6875</v>
      </c>
      <c r="E21">
        <f>+(C21+D21)/2</f>
        <v>1.68701171875</v>
      </c>
      <c r="F21" s="21">
        <f>+C21^2-(1.25*C21)-0.75</f>
        <v>-1.3792991638183594E-2</v>
      </c>
      <c r="G21">
        <f>+D21^2-(1.25*D21)-0.75</f>
        <v>-1.171875E-2</v>
      </c>
      <c r="H21">
        <f>+E21^2-(1.25*E21)-0.75</f>
        <v>-1.2756109237670898E-2</v>
      </c>
    </row>
    <row r="22" spans="2:8" x14ac:dyDescent="0.2">
      <c r="B22">
        <v>11</v>
      </c>
      <c r="C22">
        <f>+E21</f>
        <v>1.68701171875</v>
      </c>
      <c r="D22">
        <f>+D21</f>
        <v>1.6875</v>
      </c>
      <c r="E22">
        <f>+(C22+D22)/2</f>
        <v>1.687255859375</v>
      </c>
      <c r="F22" s="21">
        <f>+C22^2-(1.25*C22)-0.75</f>
        <v>-1.2756109237670898E-2</v>
      </c>
      <c r="G22">
        <f>+D22^2-(1.25*D22)-0.75</f>
        <v>-1.171875E-2</v>
      </c>
      <c r="H22">
        <f>+E22^2-(1.25*E22)-0.75</f>
        <v>-1.2237489223480225E-2</v>
      </c>
    </row>
    <row r="23" spans="2:8" x14ac:dyDescent="0.2">
      <c r="B23">
        <v>12</v>
      </c>
      <c r="C23">
        <f>+E22</f>
        <v>1.687255859375</v>
      </c>
      <c r="D23">
        <f>+D22</f>
        <v>1.6875</v>
      </c>
      <c r="E23" s="19">
        <f>+(C23+D23)/2</f>
        <v>1.6873779296875</v>
      </c>
      <c r="F23" s="21">
        <f>+C23^2-(1.25*C23)-0.75</f>
        <v>-1.2237489223480225E-2</v>
      </c>
      <c r="G23">
        <f>+D23^2-(1.25*D23)-0.75</f>
        <v>-1.171875E-2</v>
      </c>
      <c r="H23">
        <f>+E23^2-(1.25*E23)-0.75</f>
        <v>-1.1978134512901306E-2</v>
      </c>
    </row>
    <row r="26" spans="2:8" ht="15.75" x14ac:dyDescent="0.25">
      <c r="B26" s="6" t="s">
        <v>12</v>
      </c>
      <c r="C26" s="4"/>
    </row>
    <row r="27" spans="2:8" x14ac:dyDescent="0.2">
      <c r="B27" s="2"/>
      <c r="C27" s="4"/>
    </row>
    <row r="28" spans="2:8" x14ac:dyDescent="0.2">
      <c r="B28" s="15" t="s">
        <v>10</v>
      </c>
      <c r="C28" s="16" t="s">
        <v>0</v>
      </c>
      <c r="D28" s="16" t="s">
        <v>11</v>
      </c>
      <c r="E28" s="16" t="s">
        <v>8</v>
      </c>
    </row>
    <row r="29" spans="2:8" x14ac:dyDescent="0.2">
      <c r="B29">
        <v>1.5</v>
      </c>
      <c r="C29">
        <f>+B29^2-1.25*B29-0.75</f>
        <v>-0.375</v>
      </c>
      <c r="D29">
        <f>2*B29-1.25</f>
        <v>1.75</v>
      </c>
      <c r="E29">
        <v>1E-4</v>
      </c>
    </row>
    <row r="30" spans="2:8" x14ac:dyDescent="0.2">
      <c r="B30">
        <f>+B29-(C29/D29)</f>
        <v>1.7142857142857142</v>
      </c>
      <c r="C30">
        <f>+B30^2-1.25*B30-0.75</f>
        <v>4.5918367346938549E-2</v>
      </c>
      <c r="D30">
        <f>2*B30-1.25</f>
        <v>2.1785714285714284</v>
      </c>
    </row>
    <row r="31" spans="2:8" x14ac:dyDescent="0.2">
      <c r="B31">
        <f t="shared" ref="B31:B33" si="0">+B30-(C30/D30)</f>
        <v>1.693208430913349</v>
      </c>
      <c r="C31">
        <f t="shared" ref="C31:C33" si="1">+B31^2-1.25*B31-0.75</f>
        <v>4.4425187435948033E-4</v>
      </c>
      <c r="D31">
        <f t="shared" ref="D31:D33" si="2">2*B31-1.25</f>
        <v>2.1364168618266981</v>
      </c>
    </row>
    <row r="32" spans="2:8" x14ac:dyDescent="0.2">
      <c r="B32">
        <f t="shared" si="0"/>
        <v>1.693000488408168</v>
      </c>
      <c r="C32">
        <f t="shared" si="1"/>
        <v>4.3240085290108254E-8</v>
      </c>
      <c r="D32">
        <f t="shared" si="2"/>
        <v>2.1360009768163359</v>
      </c>
    </row>
    <row r="33" spans="2:5" x14ac:dyDescent="0.2">
      <c r="B33" s="19">
        <f t="shared" si="0"/>
        <v>1.6930004681646915</v>
      </c>
      <c r="C33">
        <f t="shared" si="1"/>
        <v>0</v>
      </c>
      <c r="D33">
        <f t="shared" si="2"/>
        <v>2.136000936329383</v>
      </c>
    </row>
    <row r="36" spans="2:5" ht="18" x14ac:dyDescent="0.25">
      <c r="B36" s="17" t="s">
        <v>14</v>
      </c>
      <c r="C36" s="4"/>
    </row>
    <row r="37" spans="2:5" x14ac:dyDescent="0.2">
      <c r="B37" s="4"/>
      <c r="C37" s="4"/>
    </row>
    <row r="38" spans="2:5" x14ac:dyDescent="0.2">
      <c r="B38" s="18" t="s">
        <v>15</v>
      </c>
      <c r="C38" s="18" t="s">
        <v>10</v>
      </c>
      <c r="D38" s="18" t="s">
        <v>0</v>
      </c>
      <c r="E38" s="18" t="s">
        <v>8</v>
      </c>
    </row>
    <row r="39" spans="2:5" x14ac:dyDescent="0.2">
      <c r="B39">
        <v>0</v>
      </c>
      <c r="C39">
        <v>1</v>
      </c>
      <c r="D39">
        <f>+C39^2-1.25*C39-0.75</f>
        <v>-1</v>
      </c>
      <c r="E39">
        <v>1E-4</v>
      </c>
    </row>
    <row r="40" spans="2:5" x14ac:dyDescent="0.2">
      <c r="B40">
        <v>1</v>
      </c>
      <c r="C40">
        <v>2</v>
      </c>
      <c r="D40">
        <f>+C40^2-1.25*C40-0.75</f>
        <v>0.75</v>
      </c>
    </row>
    <row r="41" spans="2:5" x14ac:dyDescent="0.2">
      <c r="B41">
        <v>2</v>
      </c>
      <c r="C41">
        <f>+C40-(D40*(C39-C40)/(D39-D40))</f>
        <v>1.5714285714285714</v>
      </c>
      <c r="D41">
        <f>+C41^2-1.25*C41-0.75</f>
        <v>-0.24489795918367352</v>
      </c>
    </row>
    <row r="42" spans="2:5" x14ac:dyDescent="0.2">
      <c r="B42">
        <v>3</v>
      </c>
      <c r="C42">
        <f t="shared" ref="C42:C44" si="3">+C41-(D41*(C40-C41)/(D40-D41))</f>
        <v>1.676923076923077</v>
      </c>
      <c r="D42">
        <f t="shared" ref="D42:D45" si="4">+C42^2-1.25*C42-0.75</f>
        <v>-3.4082840236686174E-2</v>
      </c>
    </row>
    <row r="43" spans="2:5" x14ac:dyDescent="0.2">
      <c r="B43">
        <v>4</v>
      </c>
      <c r="C43">
        <f t="shared" si="3"/>
        <v>1.6939785537530931</v>
      </c>
      <c r="D43">
        <f t="shared" si="4"/>
        <v>2.0901483840547463E-3</v>
      </c>
    </row>
    <row r="44" spans="2:5" x14ac:dyDescent="0.2">
      <c r="B44">
        <v>5</v>
      </c>
      <c r="C44">
        <f t="shared" si="3"/>
        <v>1.6929930538346512</v>
      </c>
      <c r="D44">
        <f t="shared" si="4"/>
        <v>-1.5836960935988742E-5</v>
      </c>
    </row>
    <row r="45" spans="2:5" x14ac:dyDescent="0.2">
      <c r="B45">
        <v>6</v>
      </c>
      <c r="C45" s="19">
        <f t="shared" ref="C45" si="5">+C44-(D44*(C43-C44)/(D43-D44))</f>
        <v>1.6930004647711745</v>
      </c>
      <c r="D45">
        <f t="shared" si="4"/>
        <v>-7.2485550894896278E-9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9DAC-F8C4-42F0-BABF-F23AB2413745}">
  <dimension ref="B7:I41"/>
  <sheetViews>
    <sheetView topLeftCell="A23" zoomScale="91" workbookViewId="0">
      <selection activeCell="F24" sqref="F24"/>
    </sheetView>
  </sheetViews>
  <sheetFormatPr baseColWidth="10" defaultRowHeight="12.75" x14ac:dyDescent="0.2"/>
  <sheetData>
    <row r="7" spans="2:9" ht="18" x14ac:dyDescent="0.25">
      <c r="B7" s="8" t="s">
        <v>13</v>
      </c>
      <c r="C7" s="8"/>
      <c r="E7" s="7" t="s">
        <v>17</v>
      </c>
    </row>
    <row r="9" spans="2:9" x14ac:dyDescent="0.2">
      <c r="B9" s="20" t="s">
        <v>3</v>
      </c>
      <c r="C9" s="20" t="s">
        <v>1</v>
      </c>
      <c r="D9" s="20" t="s">
        <v>2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</row>
    <row r="10" spans="2:9" x14ac:dyDescent="0.2">
      <c r="B10">
        <v>0</v>
      </c>
      <c r="C10">
        <v>0</v>
      </c>
      <c r="D10">
        <v>1</v>
      </c>
      <c r="E10">
        <f>+(C10+D10)/2</f>
        <v>0.5</v>
      </c>
      <c r="F10">
        <f>+C10^3-0.5*C10^2+4*C10-1</f>
        <v>-1</v>
      </c>
      <c r="G10">
        <f>+D10^3-0.5*D10^2+4*D10-1</f>
        <v>3.5</v>
      </c>
      <c r="H10">
        <f>+E10^3-0.5*E10^2+4*E10-1</f>
        <v>1</v>
      </c>
      <c r="I10">
        <v>5.0000000000000001E-4</v>
      </c>
    </row>
    <row r="11" spans="2:9" x14ac:dyDescent="0.2">
      <c r="B11">
        <v>1</v>
      </c>
      <c r="C11">
        <f>+C10</f>
        <v>0</v>
      </c>
      <c r="D11">
        <f>+E10</f>
        <v>0.5</v>
      </c>
      <c r="E11">
        <f>+(C11+D11)/2</f>
        <v>0.25</v>
      </c>
      <c r="F11">
        <f>+C11^3-0.5*C11^2+4*C11-1</f>
        <v>-1</v>
      </c>
      <c r="G11">
        <f>+D11^3-0.5*D11^2+4*D11-1</f>
        <v>1</v>
      </c>
      <c r="H11">
        <f>+E11^3-0.5*E11^2+4*E11-1</f>
        <v>-1.5625E-2</v>
      </c>
    </row>
    <row r="12" spans="2:9" x14ac:dyDescent="0.2">
      <c r="B12">
        <v>2</v>
      </c>
      <c r="C12">
        <f>+E11</f>
        <v>0.25</v>
      </c>
      <c r="D12">
        <f>+D11</f>
        <v>0.5</v>
      </c>
      <c r="E12">
        <f>+(C12+D12)/2</f>
        <v>0.375</v>
      </c>
      <c r="F12">
        <f>+C12^3-0.5*C12^2+4*C12-1</f>
        <v>-1.5625E-2</v>
      </c>
      <c r="G12">
        <f>+D12^3-0.5*D12^2+4*D12-1</f>
        <v>1</v>
      </c>
      <c r="H12">
        <f>+E12^3-0.5*E12^2+4*E12-1</f>
        <v>0.482421875</v>
      </c>
    </row>
    <row r="13" spans="2:9" x14ac:dyDescent="0.2">
      <c r="B13">
        <v>3</v>
      </c>
      <c r="C13">
        <f>+C12</f>
        <v>0.25</v>
      </c>
      <c r="D13">
        <f>+E12</f>
        <v>0.375</v>
      </c>
      <c r="E13">
        <f>+(C13+D13)/2</f>
        <v>0.3125</v>
      </c>
      <c r="F13">
        <f>+C13^3-0.5*C13^2+4*C13-1</f>
        <v>-1.5625E-2</v>
      </c>
      <c r="G13">
        <f>+D13^3-0.5*D13^2+4*D13-1</f>
        <v>0.482421875</v>
      </c>
      <c r="H13">
        <f>+E13^3-0.5*E13^2+4*E13-1</f>
        <v>0.231689453125</v>
      </c>
    </row>
    <row r="14" spans="2:9" x14ac:dyDescent="0.2">
      <c r="B14">
        <v>4</v>
      </c>
      <c r="C14">
        <f>+C13</f>
        <v>0.25</v>
      </c>
      <c r="D14">
        <f>+E13</f>
        <v>0.3125</v>
      </c>
      <c r="E14">
        <f>+(C14+D14)/2</f>
        <v>0.28125</v>
      </c>
      <c r="F14">
        <f>+C14^3-0.5*C14^2+4*C14-1</f>
        <v>-1.5625E-2</v>
      </c>
      <c r="G14">
        <f>+D14^3-0.5*D14^2+4*D14-1</f>
        <v>0.231689453125</v>
      </c>
      <c r="H14">
        <f>+E14^3-0.5*E14^2+4*E14-1</f>
        <v>0.107696533203125</v>
      </c>
    </row>
    <row r="15" spans="2:9" x14ac:dyDescent="0.2">
      <c r="B15">
        <v>5</v>
      </c>
      <c r="C15">
        <f>+C14</f>
        <v>0.25</v>
      </c>
      <c r="D15">
        <f>+E14</f>
        <v>0.28125</v>
      </c>
      <c r="E15">
        <f>+(C15+D15)/2</f>
        <v>0.265625</v>
      </c>
      <c r="F15">
        <f>+C15^3-0.5*C15^2+4*C15-1</f>
        <v>-1.5625E-2</v>
      </c>
      <c r="G15">
        <f>+D15^3-0.5*D15^2+4*D15-1</f>
        <v>0.107696533203125</v>
      </c>
      <c r="H15">
        <f>+E15^3-0.5*E15^2+4*E15-1</f>
        <v>4.5963287353515625E-2</v>
      </c>
    </row>
    <row r="16" spans="2:9" x14ac:dyDescent="0.2">
      <c r="B16">
        <v>6</v>
      </c>
      <c r="C16">
        <f>+C15</f>
        <v>0.25</v>
      </c>
      <c r="D16">
        <f>+E15</f>
        <v>0.265625</v>
      </c>
      <c r="E16">
        <f>+(C16+D16)/2</f>
        <v>0.2578125</v>
      </c>
      <c r="F16">
        <f>+C16^3-0.5*C16^2+4*C16-1</f>
        <v>-1.5625E-2</v>
      </c>
      <c r="G16">
        <f>+D16^3-0.5*D16^2+4*D16-1</f>
        <v>4.5963287353515625E-2</v>
      </c>
      <c r="H16">
        <f>+E16^3-0.5*E16^2+4*E16-1</f>
        <v>1.5152454376220703E-2</v>
      </c>
    </row>
    <row r="17" spans="2:8" x14ac:dyDescent="0.2">
      <c r="B17">
        <v>7</v>
      </c>
      <c r="C17">
        <f>+C16</f>
        <v>0.25</v>
      </c>
      <c r="D17">
        <f>+E16</f>
        <v>0.2578125</v>
      </c>
      <c r="E17">
        <f>+(C17+D17)/2</f>
        <v>0.25390625</v>
      </c>
      <c r="F17">
        <f>+C17^3-0.5*C17^2+4*C17-1</f>
        <v>-1.5625E-2</v>
      </c>
      <c r="G17">
        <f>+D17^3-0.5*D17^2+4*D17-1</f>
        <v>1.5152454376220703E-2</v>
      </c>
      <c r="H17">
        <f>+E17^3-0.5*E17^2+4*E17-1</f>
        <v>-2.4026632308959961E-4</v>
      </c>
    </row>
    <row r="18" spans="2:8" x14ac:dyDescent="0.2">
      <c r="B18">
        <v>8</v>
      </c>
      <c r="C18">
        <f>+E17</f>
        <v>0.25390625</v>
      </c>
      <c r="D18">
        <f>+D17</f>
        <v>0.2578125</v>
      </c>
      <c r="E18">
        <f>+(C18+D18)/2</f>
        <v>0.255859375</v>
      </c>
      <c r="F18">
        <f>+C18^3-0.5*C18^2+4*C18-1</f>
        <v>-2.4026632308959961E-4</v>
      </c>
      <c r="G18">
        <f>+D18^3-0.5*D18^2+4*D18-1</f>
        <v>1.5152454376220703E-2</v>
      </c>
      <c r="H18">
        <f>+E18^3-0.5*E18^2+4*E18-1</f>
        <v>7.4550732970237732E-3</v>
      </c>
    </row>
    <row r="19" spans="2:8" x14ac:dyDescent="0.2">
      <c r="B19">
        <v>9</v>
      </c>
      <c r="C19">
        <f>+C18</f>
        <v>0.25390625</v>
      </c>
      <c r="D19">
        <f>+E18</f>
        <v>0.255859375</v>
      </c>
      <c r="E19">
        <f>+(C19+D19)/2</f>
        <v>0.2548828125</v>
      </c>
      <c r="F19">
        <f>+C19^3-0.5*C19^2+4*C19-1</f>
        <v>-2.4026632308959961E-4</v>
      </c>
      <c r="G19">
        <f>+D19^3-0.5*D19^2+4*D19-1</f>
        <v>7.4550732970237732E-3</v>
      </c>
      <c r="H19">
        <f>+E19^3-0.5*E19^2+4*E19-1</f>
        <v>3.607151098549366E-3</v>
      </c>
    </row>
    <row r="20" spans="2:8" x14ac:dyDescent="0.2">
      <c r="B20">
        <v>10</v>
      </c>
      <c r="C20">
        <f>+C19</f>
        <v>0.25390625</v>
      </c>
      <c r="D20">
        <f>+E19</f>
        <v>0.2548828125</v>
      </c>
      <c r="E20">
        <f>+(C20+D20)/2</f>
        <v>0.25439453125</v>
      </c>
      <c r="F20">
        <f>+C20^3-0.5*C20^2+4*C20-1</f>
        <v>-2.4026632308959961E-4</v>
      </c>
      <c r="G20">
        <f>+D20^3-0.5*D20^2+4*D20-1</f>
        <v>3.607151098549366E-3</v>
      </c>
      <c r="H20">
        <f>+E20^3-0.5*E20^2+4*E20-1</f>
        <v>1.6833796398714185E-3</v>
      </c>
    </row>
    <row r="21" spans="2:8" x14ac:dyDescent="0.2">
      <c r="B21">
        <v>11</v>
      </c>
      <c r="C21">
        <f>+C20</f>
        <v>0.25390625</v>
      </c>
      <c r="D21">
        <f>+E20</f>
        <v>0.25439453125</v>
      </c>
      <c r="E21">
        <f>+(C21+D21)/2</f>
        <v>0.254150390625</v>
      </c>
      <c r="F21">
        <f>+C21^3-0.5*C21^2+4*C21-1</f>
        <v>-2.4026632308959961E-4</v>
      </c>
      <c r="G21">
        <f>+D21^3-0.5*D21^2+4*D21-1</f>
        <v>1.6833796398714185E-3</v>
      </c>
      <c r="H21">
        <f>+E21^3-0.5*E21^2+4*E21-1</f>
        <v>7.2154101508203894E-4</v>
      </c>
    </row>
    <row r="22" spans="2:8" x14ac:dyDescent="0.2">
      <c r="B22">
        <v>12</v>
      </c>
      <c r="C22">
        <f>+C21</f>
        <v>0.25390625</v>
      </c>
      <c r="D22">
        <f>+E21</f>
        <v>0.254150390625</v>
      </c>
      <c r="E22">
        <f>+(C22+D22)/2</f>
        <v>0.2540283203125</v>
      </c>
      <c r="F22">
        <f>+C22^3-0.5*C22^2+4*C22-1</f>
        <v>-2.4026632308959961E-4</v>
      </c>
      <c r="G22">
        <f>+D22^3-0.5*D22^2+4*D22-1</f>
        <v>7.2154101508203894E-4</v>
      </c>
      <c r="H22">
        <f>+E22^3-0.5*E22^2+4*E22-1</f>
        <v>2.4063344062597025E-4</v>
      </c>
    </row>
    <row r="23" spans="2:8" x14ac:dyDescent="0.2">
      <c r="B23">
        <v>13</v>
      </c>
      <c r="C23">
        <f>+C22</f>
        <v>0.25390625</v>
      </c>
      <c r="D23">
        <f>+E22</f>
        <v>0.2540283203125</v>
      </c>
      <c r="E23" s="19">
        <f>+(C23+D23)/2</f>
        <v>0.25396728515625</v>
      </c>
      <c r="F23">
        <f>+C23^3-0.5*C23^2+4*C23-1</f>
        <v>-2.4026632308959961E-4</v>
      </c>
      <c r="G23">
        <f>+D23^3-0.5*D23^2+4*D23-1</f>
        <v>2.4063344062597025E-4</v>
      </c>
      <c r="H23">
        <f>+E23^3-0.5*E23^2+4*E23-1</f>
        <v>1.8258310774399433E-7</v>
      </c>
    </row>
    <row r="26" spans="2:8" ht="15.75" x14ac:dyDescent="0.25">
      <c r="B26" s="6" t="s">
        <v>12</v>
      </c>
      <c r="C26" s="4"/>
    </row>
    <row r="27" spans="2:8" x14ac:dyDescent="0.2">
      <c r="B27" s="2"/>
      <c r="C27" s="4"/>
    </row>
    <row r="28" spans="2:8" x14ac:dyDescent="0.2">
      <c r="B28" s="15" t="s">
        <v>10</v>
      </c>
      <c r="C28" s="16" t="s">
        <v>0</v>
      </c>
      <c r="D28" s="16" t="s">
        <v>11</v>
      </c>
      <c r="E28" s="16" t="s">
        <v>8</v>
      </c>
    </row>
    <row r="29" spans="2:8" x14ac:dyDescent="0.2">
      <c r="B29">
        <v>0.2</v>
      </c>
      <c r="C29">
        <f>+B29^3-0.5*B29^2+4*B29-1</f>
        <v>-0.21199999999999997</v>
      </c>
      <c r="D29">
        <f>3*B29^2-B29+4</f>
        <v>3.92</v>
      </c>
      <c r="E29">
        <v>5.0000000000000001E-4</v>
      </c>
    </row>
    <row r="30" spans="2:8" x14ac:dyDescent="0.2">
      <c r="B30">
        <f>+B29-(C29/D29)</f>
        <v>0.25408163265306122</v>
      </c>
      <c r="C30">
        <f>+B30^3-0.5*B30^2+4*B30-1</f>
        <v>4.5066150158512563E-4</v>
      </c>
      <c r="D30">
        <f>3*B30^2-B30+4</f>
        <v>3.9395907955018741</v>
      </c>
    </row>
    <row r="31" spans="2:8" x14ac:dyDescent="0.2">
      <c r="B31">
        <f t="shared" ref="B31:B33" si="0">+B30-(C30/D30)</f>
        <v>0.25396723968054752</v>
      </c>
      <c r="C31">
        <f t="shared" ref="C31:C33" si="1">+B31^3-0.5*B31^2+4*B31-1</f>
        <v>3.4301750329035485E-9</v>
      </c>
      <c r="D31">
        <f t="shared" ref="D31:D33" si="2">3*B31^2-B31+4</f>
        <v>3.9395308368123225</v>
      </c>
    </row>
    <row r="32" spans="2:8" x14ac:dyDescent="0.2">
      <c r="B32">
        <f t="shared" si="0"/>
        <v>0.25396723880984101</v>
      </c>
      <c r="C32">
        <f t="shared" si="1"/>
        <v>0</v>
      </c>
      <c r="D32">
        <f t="shared" si="2"/>
        <v>3.9395308363562433</v>
      </c>
    </row>
    <row r="33" spans="2:5" x14ac:dyDescent="0.2">
      <c r="B33" s="19">
        <f t="shared" si="0"/>
        <v>0.25396723880984101</v>
      </c>
      <c r="C33">
        <f t="shared" si="1"/>
        <v>0</v>
      </c>
      <c r="D33">
        <f t="shared" si="2"/>
        <v>3.9395308363562433</v>
      </c>
    </row>
    <row r="36" spans="2:5" ht="18" x14ac:dyDescent="0.25">
      <c r="B36" s="17" t="s">
        <v>14</v>
      </c>
      <c r="C36" s="4"/>
    </row>
    <row r="37" spans="2:5" x14ac:dyDescent="0.2">
      <c r="B37" s="4"/>
      <c r="C37" s="4"/>
    </row>
    <row r="38" spans="2:5" x14ac:dyDescent="0.2">
      <c r="B38" s="18" t="s">
        <v>15</v>
      </c>
      <c r="C38" s="18" t="s">
        <v>10</v>
      </c>
      <c r="D38" s="18" t="s">
        <v>0</v>
      </c>
      <c r="E38" s="18" t="s">
        <v>8</v>
      </c>
    </row>
    <row r="39" spans="2:5" x14ac:dyDescent="0.2">
      <c r="B39">
        <v>0</v>
      </c>
      <c r="C39">
        <v>0.2</v>
      </c>
      <c r="D39">
        <f>+C39^3-0.5*C39^2+4*C39-1</f>
        <v>-0.21199999999999997</v>
      </c>
      <c r="E39">
        <v>5.0000000000000001E-4</v>
      </c>
    </row>
    <row r="40" spans="2:5" x14ac:dyDescent="0.2">
      <c r="B40">
        <v>1</v>
      </c>
      <c r="C40">
        <v>0.3</v>
      </c>
      <c r="D40">
        <f>+C40^3-0.5*C40^2+4*C40-1</f>
        <v>0.18199999999999994</v>
      </c>
    </row>
    <row r="41" spans="2:5" x14ac:dyDescent="0.2">
      <c r="B41">
        <v>2</v>
      </c>
      <c r="C41" s="19">
        <f>+C40-(D40*(C39-C40)/(D39-D40))</f>
        <v>0.25380710659898476</v>
      </c>
      <c r="D41">
        <f>+C41^3-0.5*C41^2+4*C41-1</f>
        <v>-6.3083907089955815E-4</v>
      </c>
    </row>
  </sheetData>
  <mergeCells count="1">
    <mergeCell ref="B7:C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F2A4-9C9C-437B-93C9-BCA6A580A648}">
  <dimension ref="B7:I45"/>
  <sheetViews>
    <sheetView tabSelected="1" topLeftCell="A26" zoomScale="83" workbookViewId="0">
      <selection activeCell="J33" sqref="J33"/>
    </sheetView>
  </sheetViews>
  <sheetFormatPr baseColWidth="10" defaultRowHeight="12.75" x14ac:dyDescent="0.2"/>
  <sheetData>
    <row r="7" spans="2:9" ht="18" x14ac:dyDescent="0.25">
      <c r="B7" s="8" t="s">
        <v>13</v>
      </c>
      <c r="C7" s="8"/>
      <c r="E7" s="7" t="s">
        <v>17</v>
      </c>
    </row>
    <row r="9" spans="2:9" x14ac:dyDescent="0.2">
      <c r="B9" s="20" t="s">
        <v>3</v>
      </c>
      <c r="C9" s="20" t="s">
        <v>1</v>
      </c>
      <c r="D9" s="20" t="s">
        <v>2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</row>
    <row r="10" spans="2:9" x14ac:dyDescent="0.2">
      <c r="B10">
        <v>0</v>
      </c>
      <c r="C10">
        <v>0.5</v>
      </c>
      <c r="D10">
        <v>2</v>
      </c>
      <c r="E10">
        <f>+(C10+D10)/2</f>
        <v>1.25</v>
      </c>
      <c r="F10">
        <f>+C10*(COS(C10))</f>
        <v>0.43879128094518638</v>
      </c>
      <c r="G10">
        <f t="shared" ref="G10:H10" si="0">+D10*(COS(D10))</f>
        <v>-0.83229367309428481</v>
      </c>
      <c r="H10">
        <f t="shared" si="0"/>
        <v>0.39415295299408581</v>
      </c>
      <c r="I10">
        <v>5.0000000000000001E-4</v>
      </c>
    </row>
    <row r="11" spans="2:9" x14ac:dyDescent="0.2">
      <c r="B11">
        <v>1</v>
      </c>
      <c r="C11">
        <f>+E10</f>
        <v>1.25</v>
      </c>
      <c r="D11">
        <f>+D10</f>
        <v>2</v>
      </c>
      <c r="E11">
        <f>+(C11+D11)/2</f>
        <v>1.625</v>
      </c>
      <c r="F11">
        <f>+C11*(COS(C11))</f>
        <v>0.39415295299408581</v>
      </c>
      <c r="G11">
        <f t="shared" ref="G11" si="1">+D11*(COS(D11))</f>
        <v>-0.83229367309428481</v>
      </c>
      <c r="H11">
        <f t="shared" ref="H11" si="2">+E11*(COS(E11))</f>
        <v>-8.8037844418771521E-2</v>
      </c>
    </row>
    <row r="12" spans="2:9" x14ac:dyDescent="0.2">
      <c r="B12">
        <v>2</v>
      </c>
      <c r="C12">
        <f>+C11</f>
        <v>1.25</v>
      </c>
      <c r="D12">
        <f>+E11</f>
        <v>1.625</v>
      </c>
      <c r="E12">
        <f>+(C12+D12)/2</f>
        <v>1.4375</v>
      </c>
      <c r="F12">
        <f>+C12*(COS(C12))</f>
        <v>0.39415295299408581</v>
      </c>
      <c r="G12">
        <f t="shared" ref="G12" si="3">+D12*(COS(D12))</f>
        <v>-8.8037844418771521E-2</v>
      </c>
      <c r="H12">
        <f t="shared" ref="H12" si="4">+E12*(COS(E12))</f>
        <v>0.19104654515093625</v>
      </c>
    </row>
    <row r="13" spans="2:9" x14ac:dyDescent="0.2">
      <c r="B13">
        <v>3</v>
      </c>
      <c r="C13">
        <f>+E12</f>
        <v>1.4375</v>
      </c>
      <c r="D13">
        <f>+D12</f>
        <v>1.625</v>
      </c>
      <c r="E13">
        <f>+(C13+D13)/2</f>
        <v>1.53125</v>
      </c>
      <c r="F13">
        <f>+C13*(COS(C13))</f>
        <v>0.19104654515093625</v>
      </c>
      <c r="G13">
        <f t="shared" ref="G13" si="5">+D13*(COS(D13))</f>
        <v>-8.8037844418771521E-2</v>
      </c>
      <c r="H13">
        <f t="shared" ref="H13" si="6">+E13*(COS(E13))</f>
        <v>6.0539530275822616E-2</v>
      </c>
    </row>
    <row r="14" spans="2:9" x14ac:dyDescent="0.2">
      <c r="B14">
        <v>4</v>
      </c>
      <c r="C14">
        <f>+E13</f>
        <v>1.53125</v>
      </c>
      <c r="D14">
        <f>+D13</f>
        <v>1.625</v>
      </c>
      <c r="E14">
        <f>+(C14+D14)/2</f>
        <v>1.578125</v>
      </c>
      <c r="F14">
        <f>+C14*(COS(C14))</f>
        <v>6.0539530275822616E-2</v>
      </c>
      <c r="G14">
        <f t="shared" ref="G14" si="7">+D14*(COS(D14))</f>
        <v>-8.8037844418771521E-2</v>
      </c>
      <c r="H14">
        <f t="shared" ref="H14" si="8">+E14*(COS(E14))</f>
        <v>-1.1565458872080717E-2</v>
      </c>
    </row>
    <row r="15" spans="2:9" x14ac:dyDescent="0.2">
      <c r="B15">
        <v>5</v>
      </c>
      <c r="C15">
        <f>+C14</f>
        <v>1.53125</v>
      </c>
      <c r="D15">
        <f>+E14</f>
        <v>1.578125</v>
      </c>
      <c r="E15">
        <f>+(C15+D15)/2</f>
        <v>1.5546875</v>
      </c>
      <c r="F15">
        <f>+C15*(COS(C15))</f>
        <v>6.0539530275822616E-2</v>
      </c>
      <c r="G15">
        <f t="shared" ref="G15" si="9">+D15*(COS(D15))</f>
        <v>-1.1565458872080717E-2</v>
      </c>
      <c r="H15">
        <f t="shared" ref="H15" si="10">+E15*(COS(E15))</f>
        <v>2.5043108534243984E-2</v>
      </c>
    </row>
    <row r="16" spans="2:9" x14ac:dyDescent="0.2">
      <c r="B16">
        <v>6</v>
      </c>
      <c r="C16">
        <f>+E15</f>
        <v>1.5546875</v>
      </c>
      <c r="D16">
        <f>+D15</f>
        <v>1.578125</v>
      </c>
      <c r="E16">
        <f>+(C16+D16)/2</f>
        <v>1.56640625</v>
      </c>
      <c r="F16">
        <f>+C16*(COS(C16))</f>
        <v>2.5043108534243984E-2</v>
      </c>
      <c r="G16">
        <f t="shared" ref="G16" si="11">+D16*(COS(D16))</f>
        <v>-1.1565458872080717E-2</v>
      </c>
      <c r="H16">
        <f t="shared" ref="H16" si="12">+E16*(COS(E16))</f>
        <v>6.8766216408602679E-3</v>
      </c>
    </row>
    <row r="17" spans="2:8" x14ac:dyDescent="0.2">
      <c r="B17">
        <v>7</v>
      </c>
      <c r="C17">
        <f>+E16</f>
        <v>1.56640625</v>
      </c>
      <c r="D17">
        <f>+D16</f>
        <v>1.578125</v>
      </c>
      <c r="E17">
        <f>+(C17+D17)/2</f>
        <v>1.572265625</v>
      </c>
      <c r="F17">
        <f>+C17*(COS(C17))</f>
        <v>6.8766216408602679E-3</v>
      </c>
      <c r="G17">
        <f t="shared" ref="G17:G18" si="13">+D17*(COS(D17))</f>
        <v>-1.1565458872080717E-2</v>
      </c>
      <c r="H17">
        <f t="shared" ref="H17:H18" si="14">+E17*(COS(E17))</f>
        <v>-2.3101262295602896E-3</v>
      </c>
    </row>
    <row r="18" spans="2:8" x14ac:dyDescent="0.2">
      <c r="B18">
        <v>8</v>
      </c>
      <c r="C18">
        <f>+C17</f>
        <v>1.56640625</v>
      </c>
      <c r="D18">
        <f>+E17</f>
        <v>1.572265625</v>
      </c>
      <c r="E18">
        <f>+(C18+D18)/2</f>
        <v>1.5693359375</v>
      </c>
      <c r="F18">
        <f>+C18*(COS(C18))</f>
        <v>6.8766216408602679E-3</v>
      </c>
      <c r="G18">
        <f t="shared" si="13"/>
        <v>-2.3101262295602896E-3</v>
      </c>
      <c r="H18">
        <f t="shared" si="14"/>
        <v>2.2918405885725178E-3</v>
      </c>
    </row>
    <row r="19" spans="2:8" x14ac:dyDescent="0.2">
      <c r="B19">
        <v>9</v>
      </c>
      <c r="C19">
        <f>+E18</f>
        <v>1.5693359375</v>
      </c>
      <c r="D19">
        <f>+D18</f>
        <v>1.572265625</v>
      </c>
      <c r="E19">
        <f>+(C19+D19)/2</f>
        <v>1.57080078125</v>
      </c>
      <c r="F19">
        <f>+C19*(COS(C19))</f>
        <v>2.2918405885725178E-3</v>
      </c>
      <c r="G19">
        <f t="shared" ref="G19" si="15">+D19*(COS(D19))</f>
        <v>-2.3101262295602896E-3</v>
      </c>
      <c r="H19">
        <f t="shared" ref="H19" si="16">+E19*(COS(E19))</f>
        <v>-6.9970615564103826E-6</v>
      </c>
    </row>
    <row r="20" spans="2:8" x14ac:dyDescent="0.2">
      <c r="B20">
        <v>10</v>
      </c>
      <c r="C20">
        <f>+C19</f>
        <v>1.5693359375</v>
      </c>
      <c r="D20">
        <f>+E19</f>
        <v>1.57080078125</v>
      </c>
      <c r="E20">
        <f>+(C20+D20)/2</f>
        <v>1.570068359375</v>
      </c>
      <c r="F20">
        <f>+C20*(COS(C20))</f>
        <v>2.2918405885725178E-3</v>
      </c>
      <c r="G20">
        <f t="shared" ref="G20" si="17">+D20*(COS(D20))</f>
        <v>-6.9970615564103826E-6</v>
      </c>
      <c r="H20">
        <f t="shared" ref="H20" si="18">+E20*(COS(E20))</f>
        <v>1.1429585116862792E-3</v>
      </c>
    </row>
    <row r="21" spans="2:8" x14ac:dyDescent="0.2">
      <c r="B21">
        <v>11</v>
      </c>
      <c r="C21">
        <f>+E20</f>
        <v>1.570068359375</v>
      </c>
      <c r="D21">
        <f>+D20</f>
        <v>1.57080078125</v>
      </c>
      <c r="E21">
        <f>+(C21+D21)/2</f>
        <v>1.5704345703125</v>
      </c>
      <c r="F21">
        <f>+C21*(COS(C21))</f>
        <v>1.1429585116862792E-3</v>
      </c>
      <c r="G21">
        <f t="shared" ref="G21" si="19">+D21*(COS(D21))</f>
        <v>-6.9970615564103826E-6</v>
      </c>
      <c r="H21">
        <f t="shared" ref="H21" si="20">+E21*(COS(E21))</f>
        <v>5.6811487359897668E-4</v>
      </c>
    </row>
    <row r="22" spans="2:8" x14ac:dyDescent="0.2">
      <c r="B22">
        <v>12</v>
      </c>
      <c r="C22">
        <f>+E21</f>
        <v>1.5704345703125</v>
      </c>
      <c r="D22">
        <f>+D21</f>
        <v>1.57080078125</v>
      </c>
      <c r="E22" s="19">
        <f t="shared" ref="E22:E23" si="21">+(C22+D22)/2</f>
        <v>1.57061767578125</v>
      </c>
      <c r="F22">
        <f t="shared" ref="F22:F23" si="22">+C22*(COS(C22))</f>
        <v>5.6811487359897668E-4</v>
      </c>
      <c r="G22">
        <f t="shared" ref="G22:G23" si="23">+D22*(COS(D22))</f>
        <v>-6.9970615564103826E-6</v>
      </c>
      <c r="H22">
        <f t="shared" ref="H22:H23" si="24">+E22*(COS(E22))</f>
        <v>2.8059243833704415E-4</v>
      </c>
    </row>
    <row r="25" spans="2:8" ht="15.75" x14ac:dyDescent="0.25">
      <c r="B25" s="6" t="s">
        <v>12</v>
      </c>
      <c r="C25" s="4"/>
    </row>
    <row r="26" spans="2:8" x14ac:dyDescent="0.2">
      <c r="B26" s="2"/>
      <c r="C26" s="4"/>
    </row>
    <row r="27" spans="2:8" x14ac:dyDescent="0.2">
      <c r="B27" s="15" t="s">
        <v>10</v>
      </c>
      <c r="C27" s="16" t="s">
        <v>0</v>
      </c>
      <c r="D27" s="16" t="s">
        <v>11</v>
      </c>
      <c r="E27" s="16" t="s">
        <v>8</v>
      </c>
    </row>
    <row r="28" spans="2:8" x14ac:dyDescent="0.2">
      <c r="B28">
        <v>1.5</v>
      </c>
      <c r="C28">
        <f>+B28*COS(B28)</f>
        <v>0.10610580250155435</v>
      </c>
      <c r="D28">
        <f>+COS(B28)-B28*SIN(B28)</f>
        <v>-1.4255052782383788</v>
      </c>
      <c r="E28">
        <v>5.0000000000000001E-4</v>
      </c>
    </row>
    <row r="29" spans="2:8" x14ac:dyDescent="0.2">
      <c r="B29">
        <f>+B28-(C28/D28)</f>
        <v>1.57443381944729</v>
      </c>
      <c r="C29">
        <f>+B29*COS(B29)</f>
        <v>-5.726978820620122E-3</v>
      </c>
      <c r="D29">
        <f>+COS(B29)-B29*SIN(B29)</f>
        <v>-1.5780608881450224</v>
      </c>
    </row>
    <row r="30" spans="2:8" x14ac:dyDescent="0.2">
      <c r="B30">
        <f t="shared" ref="B30:B34" si="25">+B29-(C29/D29)</f>
        <v>1.5708046953344985</v>
      </c>
      <c r="C30">
        <f t="shared" ref="C30:C41" si="26">+B30*COS(B30)</f>
        <v>-1.314534129959403E-5</v>
      </c>
      <c r="D30">
        <f t="shared" ref="D30:D34" si="27">+COS(B30)-B30*SIN(B30)</f>
        <v>-1.5708130638190967</v>
      </c>
    </row>
    <row r="31" spans="2:8" x14ac:dyDescent="0.2">
      <c r="B31">
        <f t="shared" si="25"/>
        <v>1.57079632683948</v>
      </c>
      <c r="C31">
        <f t="shared" si="26"/>
        <v>-7.0031420203169163E-11</v>
      </c>
      <c r="D31">
        <f t="shared" si="27"/>
        <v>-1.5707963268840635</v>
      </c>
    </row>
    <row r="32" spans="2:8" x14ac:dyDescent="0.2">
      <c r="B32">
        <f t="shared" si="25"/>
        <v>1.5707963267948966</v>
      </c>
      <c r="C32">
        <f t="shared" si="26"/>
        <v>9.6222934637445164E-17</v>
      </c>
      <c r="D32">
        <f t="shared" si="27"/>
        <v>-1.5707963267948966</v>
      </c>
    </row>
    <row r="33" spans="2:5" x14ac:dyDescent="0.2">
      <c r="B33">
        <f t="shared" si="25"/>
        <v>1.5707963267948966</v>
      </c>
      <c r="C33">
        <f t="shared" si="26"/>
        <v>9.6222934637445164E-17</v>
      </c>
      <c r="D33">
        <f t="shared" si="27"/>
        <v>-1.5707963267948966</v>
      </c>
    </row>
    <row r="34" spans="2:5" x14ac:dyDescent="0.2">
      <c r="B34" s="19">
        <f t="shared" si="25"/>
        <v>1.5707963267948966</v>
      </c>
      <c r="C34">
        <f t="shared" si="26"/>
        <v>9.6222934637445164E-17</v>
      </c>
      <c r="D34">
        <f t="shared" si="27"/>
        <v>-1.5707963267948966</v>
      </c>
    </row>
    <row r="37" spans="2:5" ht="18" x14ac:dyDescent="0.25">
      <c r="B37" s="17" t="s">
        <v>14</v>
      </c>
      <c r="C37" s="4"/>
    </row>
    <row r="38" spans="2:5" x14ac:dyDescent="0.2">
      <c r="B38" s="4"/>
      <c r="C38" s="4"/>
    </row>
    <row r="39" spans="2:5" x14ac:dyDescent="0.2">
      <c r="B39" s="18" t="s">
        <v>15</v>
      </c>
      <c r="C39" s="18" t="s">
        <v>10</v>
      </c>
      <c r="D39" s="18" t="s">
        <v>0</v>
      </c>
      <c r="E39" s="18" t="s">
        <v>8</v>
      </c>
    </row>
    <row r="40" spans="2:5" x14ac:dyDescent="0.2">
      <c r="B40">
        <v>0</v>
      </c>
      <c r="C40">
        <v>1.5</v>
      </c>
      <c r="D40">
        <f>+C40*COS(C40)</f>
        <v>0.10610580250155435</v>
      </c>
      <c r="E40">
        <v>5.0000000000000001E-4</v>
      </c>
    </row>
    <row r="41" spans="2:5" x14ac:dyDescent="0.2">
      <c r="B41">
        <v>1</v>
      </c>
      <c r="C41">
        <v>2</v>
      </c>
      <c r="D41">
        <f>+C41*COS(C41)</f>
        <v>-0.83229367309428481</v>
      </c>
    </row>
    <row r="42" spans="2:5" x14ac:dyDescent="0.2">
      <c r="B42">
        <v>2</v>
      </c>
      <c r="C42">
        <f>+C41-(D41*(C40-C41)/(D40-D41))</f>
        <v>1.5565355188600154</v>
      </c>
      <c r="D42">
        <f>+C42*COS(C42)</f>
        <v>2.2196701700849336E-2</v>
      </c>
    </row>
    <row r="43" spans="2:5" x14ac:dyDescent="0.2">
      <c r="B43">
        <v>3</v>
      </c>
      <c r="C43">
        <f t="shared" ref="C43:C44" si="28">+C42-(D42*(C41-C42)/(D41-D42))</f>
        <v>1.5680551908108507</v>
      </c>
      <c r="D43">
        <f t="shared" ref="D43:D44" si="29">+C43*COS(C43)</f>
        <v>4.2982471257831225E-3</v>
      </c>
    </row>
    <row r="44" spans="2:5" x14ac:dyDescent="0.2">
      <c r="B44">
        <v>4</v>
      </c>
      <c r="C44">
        <f t="shared" si="28"/>
        <v>1.5708215970748651</v>
      </c>
      <c r="D44">
        <f t="shared" si="29"/>
        <v>-3.9695101534437093E-5</v>
      </c>
    </row>
    <row r="45" spans="2:5" x14ac:dyDescent="0.2">
      <c r="B45">
        <v>5</v>
      </c>
      <c r="C45" s="19">
        <f>+C44-(D44*(C43-C44)/(D43-D44))</f>
        <v>1.5707962825889219</v>
      </c>
      <c r="D45">
        <f>+C45*COS(C45)</f>
        <v>6.9438580758164715E-8</v>
      </c>
    </row>
  </sheetData>
  <mergeCells count="1"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1</vt:lpstr>
      <vt:lpstr>Hoja2</vt:lpstr>
      <vt:lpstr>Hoja3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chavarria</dc:creator>
  <cp:lastModifiedBy>Leonor</cp:lastModifiedBy>
  <dcterms:created xsi:type="dcterms:W3CDTF">2025-11-15T09:41:02Z</dcterms:created>
  <dcterms:modified xsi:type="dcterms:W3CDTF">2025-11-15T09:41:02Z</dcterms:modified>
</cp:coreProperties>
</file>